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<sst xmlns="http://schemas.openxmlformats.org/spreadsheetml/2006/main" count="1818" uniqueCount="862">
  <si>
    <t>hhid</t>
  </si>
  <si>
    <t>uniq_id</t>
  </si>
  <si>
    <t>ID</t>
  </si>
  <si>
    <t>disease_id</t>
  </si>
  <si>
    <t>chronic_condition</t>
  </si>
  <si>
    <t>other_chronic_condition</t>
  </si>
  <si>
    <t>sex</t>
  </si>
  <si>
    <t>age</t>
  </si>
  <si>
    <t>check_ups</t>
  </si>
  <si>
    <t>hospitalized_count</t>
  </si>
  <si>
    <t>Emergency</t>
  </si>
  <si>
    <t>Bed.Charges</t>
  </si>
  <si>
    <t>Laboratory</t>
  </si>
  <si>
    <t>Imaging</t>
  </si>
  <si>
    <t>Medicines</t>
  </si>
  <si>
    <t>Medical.Supplies/.Devices</t>
  </si>
  <si>
    <t>Trans.portation</t>
  </si>
  <si>
    <t>Food.&amp;.Accommo.dation</t>
  </si>
  <si>
    <t>Care.Giver.Cost</t>
  </si>
  <si>
    <t>Other.Costs</t>
  </si>
  <si>
    <t>Total.cost</t>
  </si>
  <si>
    <t>Total</t>
  </si>
  <si>
    <t>Difference</t>
  </si>
  <si>
    <t>health_facility_label</t>
  </si>
  <si>
    <t>enrollment</t>
  </si>
  <si>
    <t>1101-15</t>
  </si>
  <si>
    <t>1101-15-1</t>
  </si>
  <si>
    <t>1101-15-1-2</t>
  </si>
  <si>
    <t>Hypertension</t>
  </si>
  <si>
    <t>Female</t>
  </si>
  <si>
    <t>Pharmacy/Drug Seller, Private/Community Hospital</t>
  </si>
  <si>
    <t>NHIP</t>
  </si>
  <si>
    <t>1102-14</t>
  </si>
  <si>
    <t>1102-14-1</t>
  </si>
  <si>
    <t>1102-14-1-2</t>
  </si>
  <si>
    <t>Male</t>
  </si>
  <si>
    <t>Pharmacy/Drug Seller, Government Hospital, Private Clinic</t>
  </si>
  <si>
    <t>1102-20</t>
  </si>
  <si>
    <t>1102-20-4</t>
  </si>
  <si>
    <t>1102-20-4-15</t>
  </si>
  <si>
    <t>Chronic Orthopaedic Problems</t>
  </si>
  <si>
    <t>LADERA EMERGENCY MA HELICOPTER MA KATHMANDU LAGEKO</t>
  </si>
  <si>
    <t>Government Hospital, Private/Community Hospital</t>
  </si>
  <si>
    <t>1103-12</t>
  </si>
  <si>
    <t>1103-12-1</t>
  </si>
  <si>
    <t>1103-12-1-2</t>
  </si>
  <si>
    <t>Private/Community Hospital</t>
  </si>
  <si>
    <t>1104-11</t>
  </si>
  <si>
    <t>1104-11-1</t>
  </si>
  <si>
    <t>1104-11-1-6</t>
  </si>
  <si>
    <t>Kidney Diseases</t>
  </si>
  <si>
    <t>1104-15</t>
  </si>
  <si>
    <t>1104-15-1</t>
  </si>
  <si>
    <t>1104-15-1-2</t>
  </si>
  <si>
    <t>Government Hospital</t>
  </si>
  <si>
    <t>1104-6</t>
  </si>
  <si>
    <t>1104-6-3</t>
  </si>
  <si>
    <t>1104-6-3-5</t>
  </si>
  <si>
    <t>Rheumatism/Arthritis</t>
  </si>
  <si>
    <t>1106-14</t>
  </si>
  <si>
    <t>1106-14-1</t>
  </si>
  <si>
    <t>1106-14-1-3</t>
  </si>
  <si>
    <t>Diabetes</t>
  </si>
  <si>
    <t>1107-7</t>
  </si>
  <si>
    <t>1107-7-2</t>
  </si>
  <si>
    <t>1107-7-2-1</t>
  </si>
  <si>
    <t>Heart Diseases</t>
  </si>
  <si>
    <t>Primary Health Centre, Government Hospital, Private/Community Hospital</t>
  </si>
  <si>
    <t>1108-10</t>
  </si>
  <si>
    <t>1108-10-2</t>
  </si>
  <si>
    <t>1108-10-2-7</t>
  </si>
  <si>
    <t>Liver Diseases</t>
  </si>
  <si>
    <t>1108-19</t>
  </si>
  <si>
    <t>1108-19-1</t>
  </si>
  <si>
    <t>1108-19-1-2</t>
  </si>
  <si>
    <t>1109-13</t>
  </si>
  <si>
    <t>1109-13-3</t>
  </si>
  <si>
    <t>1109-13-3-13</t>
  </si>
  <si>
    <t>Chronic Gastrointestinal Diseases</t>
  </si>
  <si>
    <t>1109-20</t>
  </si>
  <si>
    <t>1109-20-1</t>
  </si>
  <si>
    <t>1109-20-1-2</t>
  </si>
  <si>
    <t>1109-20-2</t>
  </si>
  <si>
    <t>1109-20-2-3</t>
  </si>
  <si>
    <t>1110-17</t>
  </si>
  <si>
    <t>1110-17-11</t>
  </si>
  <si>
    <t>1110-17-11-2</t>
  </si>
  <si>
    <t>1110-7</t>
  </si>
  <si>
    <t>1110-7-5</t>
  </si>
  <si>
    <t>1110-7-5-16</t>
  </si>
  <si>
    <t>Neurological Conditions</t>
  </si>
  <si>
    <t>1111-13</t>
  </si>
  <si>
    <t>1111-13-2</t>
  </si>
  <si>
    <t>1111-13-2-7</t>
  </si>
  <si>
    <t>1111-19</t>
  </si>
  <si>
    <t>1111-19-5</t>
  </si>
  <si>
    <t>1111-19-5-13</t>
  </si>
  <si>
    <t>1111-5</t>
  </si>
  <si>
    <t>1111-5-2</t>
  </si>
  <si>
    <t>1111-5-2-12</t>
  </si>
  <si>
    <t>Thyroid Disorders</t>
  </si>
  <si>
    <t>1112-13</t>
  </si>
  <si>
    <t>1112-13-1</t>
  </si>
  <si>
    <t>1112-13-1-2</t>
  </si>
  <si>
    <t>Pharmacy/Drug Seller, Government Hospital</t>
  </si>
  <si>
    <t>1112-4</t>
  </si>
  <si>
    <t>1112-4-7</t>
  </si>
  <si>
    <t>1112-4-7-2</t>
  </si>
  <si>
    <t>Government Hospital, Private Clinic, Private/Community Hospital</t>
  </si>
  <si>
    <t>1112-7</t>
  </si>
  <si>
    <t>1112-7-4</t>
  </si>
  <si>
    <t>1112-7-4-6</t>
  </si>
  <si>
    <t>1201-18</t>
  </si>
  <si>
    <t>1201-18-2</t>
  </si>
  <si>
    <t>1201-18-2-18</t>
  </si>
  <si>
    <t>Mental Illness</t>
  </si>
  <si>
    <t>Non NHIP</t>
  </si>
  <si>
    <t>1203-12</t>
  </si>
  <si>
    <t>1203-12-5</t>
  </si>
  <si>
    <t>1203-12-5-7</t>
  </si>
  <si>
    <t>Abroad (India/Other)</t>
  </si>
  <si>
    <t>1203-6</t>
  </si>
  <si>
    <t>1203-6-2</t>
  </si>
  <si>
    <t>1203-6-2-12</t>
  </si>
  <si>
    <t>1204-2</t>
  </si>
  <si>
    <t>1204-2-1</t>
  </si>
  <si>
    <t>1204-2-1-1</t>
  </si>
  <si>
    <t>1208-18</t>
  </si>
  <si>
    <t>1208-18-1</t>
  </si>
  <si>
    <t>1208-18-1-7</t>
  </si>
  <si>
    <t>1209-20</t>
  </si>
  <si>
    <t>1209-20-2</t>
  </si>
  <si>
    <t>1209-20-2-1</t>
  </si>
  <si>
    <t>1212-16</t>
  </si>
  <si>
    <t>1212-16-2</t>
  </si>
  <si>
    <t>1212-16-2-12</t>
  </si>
  <si>
    <t>1415-6</t>
  </si>
  <si>
    <t>1415-6-2</t>
  </si>
  <si>
    <t>1415-6-2-1</t>
  </si>
  <si>
    <t>Non SSF</t>
  </si>
  <si>
    <t>2102-4</t>
  </si>
  <si>
    <t>2102-4-1</t>
  </si>
  <si>
    <t>2102-4-1-3</t>
  </si>
  <si>
    <t>Abroad (India/Other), Government Hospital, Private/Community Hospital</t>
  </si>
  <si>
    <t>2102-6</t>
  </si>
  <si>
    <t>2102-6-3</t>
  </si>
  <si>
    <t>2102-6-3-16</t>
  </si>
  <si>
    <t>2103-17</t>
  </si>
  <si>
    <t>2103-17-2</t>
  </si>
  <si>
    <t>2103-17-2-4</t>
  </si>
  <si>
    <t>Asthma/COPD</t>
  </si>
  <si>
    <t>2103-18</t>
  </si>
  <si>
    <t>2103-18-1</t>
  </si>
  <si>
    <t>2103-18-1-3</t>
  </si>
  <si>
    <t>2104-18</t>
  </si>
  <si>
    <t>2104-18-1</t>
  </si>
  <si>
    <t>2104-18-1-7</t>
  </si>
  <si>
    <t>2104-5</t>
  </si>
  <si>
    <t>2104-5-1</t>
  </si>
  <si>
    <t>2104-5-1-18</t>
  </si>
  <si>
    <t>2105-10</t>
  </si>
  <si>
    <t>2105-10-5</t>
  </si>
  <si>
    <t>2105-10-5-96</t>
  </si>
  <si>
    <t>Others (Specify)</t>
  </si>
  <si>
    <t>RAGAT KO KAMI</t>
  </si>
  <si>
    <t>2105-3</t>
  </si>
  <si>
    <t>2105-3-1</t>
  </si>
  <si>
    <t>2105-3-1-2</t>
  </si>
  <si>
    <t>2105-6</t>
  </si>
  <si>
    <t>2105-6-1</t>
  </si>
  <si>
    <t>2105-6-1-96</t>
  </si>
  <si>
    <t>LEGAMENT KO PROBLEM</t>
  </si>
  <si>
    <t>2106-12</t>
  </si>
  <si>
    <t>2106-12-2</t>
  </si>
  <si>
    <t>2106-12-2-3</t>
  </si>
  <si>
    <t>2106-13</t>
  </si>
  <si>
    <t>2106-13-6</t>
  </si>
  <si>
    <t>2106-13-6-2</t>
  </si>
  <si>
    <t>2106-19</t>
  </si>
  <si>
    <t>2106-19-2</t>
  </si>
  <si>
    <t>2106-19-2-4</t>
  </si>
  <si>
    <t>2107-15</t>
  </si>
  <si>
    <t>2107-15-3</t>
  </si>
  <si>
    <t>2107-15-3-6</t>
  </si>
  <si>
    <t>Private/Community Hospital, Private Clinic</t>
  </si>
  <si>
    <t>2107-3</t>
  </si>
  <si>
    <t>2107-3-2</t>
  </si>
  <si>
    <t>2107-3-2-8</t>
  </si>
  <si>
    <t>Cancer</t>
  </si>
  <si>
    <t>2108-13</t>
  </si>
  <si>
    <t>2108-13-1</t>
  </si>
  <si>
    <t>2108-13-1-11</t>
  </si>
  <si>
    <t>HIV/AIDS</t>
  </si>
  <si>
    <t>Government Hospital, Private Clinic</t>
  </si>
  <si>
    <t>2108-15</t>
  </si>
  <si>
    <t>2108-15-2</t>
  </si>
  <si>
    <t>2108-15-2-3</t>
  </si>
  <si>
    <t>Private Clinic</t>
  </si>
  <si>
    <t>2108-4</t>
  </si>
  <si>
    <t>2108-4-2</t>
  </si>
  <si>
    <t>2108-4-2-4</t>
  </si>
  <si>
    <t>2109-16</t>
  </si>
  <si>
    <t>2109-16-2</t>
  </si>
  <si>
    <t>2109-16-2-12</t>
  </si>
  <si>
    <t>2110-11</t>
  </si>
  <si>
    <t>2110-11-2</t>
  </si>
  <si>
    <t>2110-11-2-1</t>
  </si>
  <si>
    <t>2110-11-8</t>
  </si>
  <si>
    <t>2110-11-8-1</t>
  </si>
  <si>
    <t>2110-5</t>
  </si>
  <si>
    <t>2110-5-1</t>
  </si>
  <si>
    <t>2110-5-1-1</t>
  </si>
  <si>
    <t>2110-5-2</t>
  </si>
  <si>
    <t>2110-5-2-2</t>
  </si>
  <si>
    <t>2110-8</t>
  </si>
  <si>
    <t>2110-8-1</t>
  </si>
  <si>
    <t>2110-8-1-2</t>
  </si>
  <si>
    <t>2110-9</t>
  </si>
  <si>
    <t>2110-9-1</t>
  </si>
  <si>
    <t>2110-9-1-4</t>
  </si>
  <si>
    <t>2202-18</t>
  </si>
  <si>
    <t>2202-18-2</t>
  </si>
  <si>
    <t>2202-18-2-15</t>
  </si>
  <si>
    <t>Abroad (India/Other), Pharmacy/Drug Seller, Government Hospital, Private Clinic, Private/Community Hospital</t>
  </si>
  <si>
    <t>2203-13</t>
  </si>
  <si>
    <t>2203-13-1</t>
  </si>
  <si>
    <t>2203-13-1-5</t>
  </si>
  <si>
    <t>Government Hospital, Private/Community Hospital, Private Clinic</t>
  </si>
  <si>
    <t>2203-9</t>
  </si>
  <si>
    <t>2203-9-5</t>
  </si>
  <si>
    <t>2203-9-5-4</t>
  </si>
  <si>
    <t>2205-11</t>
  </si>
  <si>
    <t>2205-11-2</t>
  </si>
  <si>
    <t>2205-11-2-12</t>
  </si>
  <si>
    <t>2205-14</t>
  </si>
  <si>
    <t>2205-14-3</t>
  </si>
  <si>
    <t>2205-14-3-96</t>
  </si>
  <si>
    <t>ACCIDENT</t>
  </si>
  <si>
    <t>2205-16</t>
  </si>
  <si>
    <t>2205-16-1</t>
  </si>
  <si>
    <t>2205-16-1-15</t>
  </si>
  <si>
    <t>2207-11</t>
  </si>
  <si>
    <t>2207-11-1</t>
  </si>
  <si>
    <t>2207-11-1-7</t>
  </si>
  <si>
    <t>2208-18</t>
  </si>
  <si>
    <t>2208-18-2</t>
  </si>
  <si>
    <t>2208-18-2-15</t>
  </si>
  <si>
    <t>2209-2</t>
  </si>
  <si>
    <t>2209-2-6</t>
  </si>
  <si>
    <t>2209-2-6-15</t>
  </si>
  <si>
    <t>2209-3</t>
  </si>
  <si>
    <t>2209-3-1</t>
  </si>
  <si>
    <t>2209-3-1-1</t>
  </si>
  <si>
    <t>2209-8</t>
  </si>
  <si>
    <t>2209-8-5</t>
  </si>
  <si>
    <t>2209-8-5-3</t>
  </si>
  <si>
    <t>2210-11</t>
  </si>
  <si>
    <t>2210-11-4</t>
  </si>
  <si>
    <t>2210-11-4-14</t>
  </si>
  <si>
    <t>Gynaecological Problems</t>
  </si>
  <si>
    <t>2500-8</t>
  </si>
  <si>
    <t>2500-8-1</t>
  </si>
  <si>
    <t>2500-8-1-4</t>
  </si>
  <si>
    <t>SSF</t>
  </si>
  <si>
    <t>2501-8</t>
  </si>
  <si>
    <t>2501-8-2</t>
  </si>
  <si>
    <t>2501-8-2-2</t>
  </si>
  <si>
    <t>3101-1</t>
  </si>
  <si>
    <t>3101-1-2</t>
  </si>
  <si>
    <t>3101-1-2-4</t>
  </si>
  <si>
    <t>Primary Health Centre, Alternative/Traditional Healer, Private/Community Hospital, Private Clinic</t>
  </si>
  <si>
    <t>3101-11</t>
  </si>
  <si>
    <t>3101-11-1</t>
  </si>
  <si>
    <t>3101-11-1-1</t>
  </si>
  <si>
    <t>Primary Health Centre, Government Hospital</t>
  </si>
  <si>
    <t>3101-4</t>
  </si>
  <si>
    <t>3101-4-4</t>
  </si>
  <si>
    <t>3101-4-4-9</t>
  </si>
  <si>
    <t>Epilepsy</t>
  </si>
  <si>
    <t>3101-6</t>
  </si>
  <si>
    <t>3101-6-2</t>
  </si>
  <si>
    <t>3101-6-2-15</t>
  </si>
  <si>
    <t>Primary Health Centre, Private/Community Hospital</t>
  </si>
  <si>
    <t>3102-10</t>
  </si>
  <si>
    <t>3102-10-1</t>
  </si>
  <si>
    <t>3102-10-1-18</t>
  </si>
  <si>
    <t>Health Post, Government Hospital, Private Clinic, Private/Community Hospital</t>
  </si>
  <si>
    <t>3102-15</t>
  </si>
  <si>
    <t>3102-15-2</t>
  </si>
  <si>
    <t>3102-15-2-2</t>
  </si>
  <si>
    <t>3102-16</t>
  </si>
  <si>
    <t>3102-16-1</t>
  </si>
  <si>
    <t>3102-16-1-1</t>
  </si>
  <si>
    <t>3102-6</t>
  </si>
  <si>
    <t>3102-6-1</t>
  </si>
  <si>
    <t>3102-6-1-15</t>
  </si>
  <si>
    <t>3103-10</t>
  </si>
  <si>
    <t>3103-10-2</t>
  </si>
  <si>
    <t>3103-10-2-24</t>
  </si>
  <si>
    <t>Eye related</t>
  </si>
  <si>
    <t>AAKHAKO SAMASYA - MOTIBIDNU</t>
  </si>
  <si>
    <t>3103-2</t>
  </si>
  <si>
    <t>3103-2-6</t>
  </si>
  <si>
    <t>3103-2-6-8</t>
  </si>
  <si>
    <t>3103-7</t>
  </si>
  <si>
    <t>3103-7-1</t>
  </si>
  <si>
    <t>3103-7-1-8</t>
  </si>
  <si>
    <t>3103-7-5</t>
  </si>
  <si>
    <t>3103-7-5-4</t>
  </si>
  <si>
    <t>3103-8</t>
  </si>
  <si>
    <t>3103-8-1</t>
  </si>
  <si>
    <t>3103-8-1-1</t>
  </si>
  <si>
    <t>3104-13</t>
  </si>
  <si>
    <t>3104-13-1</t>
  </si>
  <si>
    <t>3104-13-1-10</t>
  </si>
  <si>
    <t>Tuberculosis</t>
  </si>
  <si>
    <t>Primary Health Centre</t>
  </si>
  <si>
    <t>3104-8</t>
  </si>
  <si>
    <t>3104-8-2</t>
  </si>
  <si>
    <t>3104-8-2-4</t>
  </si>
  <si>
    <t>3105-17</t>
  </si>
  <si>
    <t>3105-17-2</t>
  </si>
  <si>
    <t>3105-17-2-8</t>
  </si>
  <si>
    <t>3105-18</t>
  </si>
  <si>
    <t>3105-18-3</t>
  </si>
  <si>
    <t>3105-18-3-8</t>
  </si>
  <si>
    <t>3106-1</t>
  </si>
  <si>
    <t>3106-1-5</t>
  </si>
  <si>
    <t>3106-1-5-6</t>
  </si>
  <si>
    <t>KIDNEY DIALYSIS</t>
  </si>
  <si>
    <t>3106-10</t>
  </si>
  <si>
    <t>3106-10-1</t>
  </si>
  <si>
    <t>3106-10-1-7</t>
  </si>
  <si>
    <t>3106-20</t>
  </si>
  <si>
    <t>3106-20-3</t>
  </si>
  <si>
    <t>3106-20-3-15</t>
  </si>
  <si>
    <t>3106-6</t>
  </si>
  <si>
    <t>3106-6-1</t>
  </si>
  <si>
    <t>3106-6-1-6</t>
  </si>
  <si>
    <t>3106-8</t>
  </si>
  <si>
    <t>3106-8-1</t>
  </si>
  <si>
    <t>3106-8-1-18</t>
  </si>
  <si>
    <t>3106-9</t>
  </si>
  <si>
    <t>3106-9-1</t>
  </si>
  <si>
    <t>3106-9-1-3</t>
  </si>
  <si>
    <t>Pharmacy/Drug Seller, Government Hospital, Private/Community Hospital</t>
  </si>
  <si>
    <t>3106-9-1-4</t>
  </si>
  <si>
    <t>NIMONIYA</t>
  </si>
  <si>
    <t>3107-17</t>
  </si>
  <si>
    <t>3107-17-1</t>
  </si>
  <si>
    <t>3107-17-1-1</t>
  </si>
  <si>
    <t>3107-19</t>
  </si>
  <si>
    <t>3107-19-9</t>
  </si>
  <si>
    <t>3107-19-9-1</t>
  </si>
  <si>
    <t>3108-4</t>
  </si>
  <si>
    <t>3108-4-1</t>
  </si>
  <si>
    <t>3108-4-1-2</t>
  </si>
  <si>
    <t>3110-10</t>
  </si>
  <si>
    <t>3110-10-2</t>
  </si>
  <si>
    <t>3110-10-2-15</t>
  </si>
  <si>
    <t>3110-17</t>
  </si>
  <si>
    <t>3110-17-1</t>
  </si>
  <si>
    <t>3110-17-1-4</t>
  </si>
  <si>
    <t>3110-18</t>
  </si>
  <si>
    <t>3110-18-3</t>
  </si>
  <si>
    <t>3110-18-3-14</t>
  </si>
  <si>
    <t>3110-3</t>
  </si>
  <si>
    <t>3110-3-4</t>
  </si>
  <si>
    <t>3110-3-4-3</t>
  </si>
  <si>
    <t>3110-6</t>
  </si>
  <si>
    <t>3110-6-2</t>
  </si>
  <si>
    <t>3110-6-2-4</t>
  </si>
  <si>
    <t>Health Post, Private/Community Hospital</t>
  </si>
  <si>
    <t>3110-7</t>
  </si>
  <si>
    <t>3110-7-1</t>
  </si>
  <si>
    <t>3110-7-1-3</t>
  </si>
  <si>
    <t>Primary Health Centre, Pharmacy/Drug Seller, Government Hospital, Private/Community Hospital</t>
  </si>
  <si>
    <t>3111-17</t>
  </si>
  <si>
    <t>3111-17-2</t>
  </si>
  <si>
    <t>3111-17-2-1</t>
  </si>
  <si>
    <t>3111-2</t>
  </si>
  <si>
    <t>3111-2-1</t>
  </si>
  <si>
    <t>3111-2-1-3</t>
  </si>
  <si>
    <t>3112-14</t>
  </si>
  <si>
    <t>3112-14-2</t>
  </si>
  <si>
    <t>3112-14-2-6</t>
  </si>
  <si>
    <t>3112-16</t>
  </si>
  <si>
    <t>3112-16-3</t>
  </si>
  <si>
    <t>3112-16-3-8</t>
  </si>
  <si>
    <t>3112-9</t>
  </si>
  <si>
    <t>3112-9-1</t>
  </si>
  <si>
    <t>3112-9-1-8</t>
  </si>
  <si>
    <t>3113-1</t>
  </si>
  <si>
    <t>3113-1-1</t>
  </si>
  <si>
    <t>3113-1-1-6</t>
  </si>
  <si>
    <t>3113-3</t>
  </si>
  <si>
    <t>3113-3-1</t>
  </si>
  <si>
    <t>3113-3-1-1</t>
  </si>
  <si>
    <t>3113-3-2</t>
  </si>
  <si>
    <t>3113-3-2-1</t>
  </si>
  <si>
    <t>3114-12</t>
  </si>
  <si>
    <t>3114-12-1</t>
  </si>
  <si>
    <t>3114-12-1-18</t>
  </si>
  <si>
    <t>3115-4</t>
  </si>
  <si>
    <t>3115-4-1</t>
  </si>
  <si>
    <t>3115-4-1-6</t>
  </si>
  <si>
    <t>3203-1</t>
  </si>
  <si>
    <t>3203-1-2</t>
  </si>
  <si>
    <t>3203-1-2-22</t>
  </si>
  <si>
    <t>Migrane</t>
  </si>
  <si>
    <t>MIGRAINE</t>
  </si>
  <si>
    <t>3203-10</t>
  </si>
  <si>
    <t>3203-10-1</t>
  </si>
  <si>
    <t>3203-10-1-2</t>
  </si>
  <si>
    <t>3203-10-1-3</t>
  </si>
  <si>
    <t>Primary Health Centre, Health Post, Private/Community Hospital</t>
  </si>
  <si>
    <t>3203-10-1-24</t>
  </si>
  <si>
    <t>JALBINDU</t>
  </si>
  <si>
    <t>3203-7</t>
  </si>
  <si>
    <t>3203-7-2</t>
  </si>
  <si>
    <t>3203-7-2-16</t>
  </si>
  <si>
    <t>3205-19</t>
  </si>
  <si>
    <t>3205-19-1</t>
  </si>
  <si>
    <t>3205-19-1-3</t>
  </si>
  <si>
    <t>3205-8</t>
  </si>
  <si>
    <t>3205-8-1</t>
  </si>
  <si>
    <t>3205-8-1-19</t>
  </si>
  <si>
    <t>Cholestrol</t>
  </si>
  <si>
    <t>CHOLESTEROL</t>
  </si>
  <si>
    <t>3205-9</t>
  </si>
  <si>
    <t>3205-9-2</t>
  </si>
  <si>
    <t>3205-9-2-3</t>
  </si>
  <si>
    <t>3206-6</t>
  </si>
  <si>
    <t>3206-6-5</t>
  </si>
  <si>
    <t>3206-6-5-6</t>
  </si>
  <si>
    <t>Pharmacy/Drug Seller, Private/Community Hospital, Private Clinic</t>
  </si>
  <si>
    <t>3207-12</t>
  </si>
  <si>
    <t>3207-12-2</t>
  </si>
  <si>
    <t>3207-12-2-4</t>
  </si>
  <si>
    <t>3207-16</t>
  </si>
  <si>
    <t>3207-16-2</t>
  </si>
  <si>
    <t>3207-16-2-18</t>
  </si>
  <si>
    <t>3207-6</t>
  </si>
  <si>
    <t>3207-6-2</t>
  </si>
  <si>
    <t>3207-6-2-2</t>
  </si>
  <si>
    <t>3210-19</t>
  </si>
  <si>
    <t>3210-19-2</t>
  </si>
  <si>
    <t>3210-19-2-15</t>
  </si>
  <si>
    <t>3210-2</t>
  </si>
  <si>
    <t>3210-2-2</t>
  </si>
  <si>
    <t>3210-2-2-3</t>
  </si>
  <si>
    <t>Health Post, Private Clinic, Private/Community Hospital</t>
  </si>
  <si>
    <t>3210-8</t>
  </si>
  <si>
    <t>3210-8-2</t>
  </si>
  <si>
    <t>3210-8-2-2</t>
  </si>
  <si>
    <t>3211-19</t>
  </si>
  <si>
    <t>3211-19-1</t>
  </si>
  <si>
    <t>3211-19-1-1</t>
  </si>
  <si>
    <t>3211-20</t>
  </si>
  <si>
    <t>3211-20-1</t>
  </si>
  <si>
    <t>3211-20-1-3</t>
  </si>
  <si>
    <t>3211-9</t>
  </si>
  <si>
    <t>3211-9-8</t>
  </si>
  <si>
    <t>3211-9-8-2</t>
  </si>
  <si>
    <t>3213-4</t>
  </si>
  <si>
    <t>3213-4-1</t>
  </si>
  <si>
    <t>3213-4-1-21</t>
  </si>
  <si>
    <t>Prostate</t>
  </si>
  <si>
    <t>PROSTATE</t>
  </si>
  <si>
    <t>3213-5</t>
  </si>
  <si>
    <t>3213-5-1</t>
  </si>
  <si>
    <t>3213-5-1-2</t>
  </si>
  <si>
    <t>3214-5</t>
  </si>
  <si>
    <t>3214-5-2</t>
  </si>
  <si>
    <t>3214-5-2-96</t>
  </si>
  <si>
    <t>BACKBONE DISLOCATED</t>
  </si>
  <si>
    <t>3310-19</t>
  </si>
  <si>
    <t>3310-19-1</t>
  </si>
  <si>
    <t>3310-19-1-96</t>
  </si>
  <si>
    <t>PISAB BANDA HUNE</t>
  </si>
  <si>
    <t>3310-8</t>
  </si>
  <si>
    <t>3310-8-3</t>
  </si>
  <si>
    <t>3310-8-3-2</t>
  </si>
  <si>
    <t>3310-9</t>
  </si>
  <si>
    <t>3310-9-5</t>
  </si>
  <si>
    <t>3310-9-5-96</t>
  </si>
  <si>
    <t>3312-5</t>
  </si>
  <si>
    <t>3312-5-2</t>
  </si>
  <si>
    <t>3312-5-2-2</t>
  </si>
  <si>
    <t>3341-4</t>
  </si>
  <si>
    <t>3341-4-5</t>
  </si>
  <si>
    <t>3341-4-5-2</t>
  </si>
  <si>
    <t>Pharmacy/Drug Seller</t>
  </si>
  <si>
    <t>3359-2</t>
  </si>
  <si>
    <t>3359-2-2</t>
  </si>
  <si>
    <t>3359-2-2-1</t>
  </si>
  <si>
    <t>3365-5</t>
  </si>
  <si>
    <t>3365-5-4</t>
  </si>
  <si>
    <t>3365-5-4-12</t>
  </si>
  <si>
    <t>3370-8</t>
  </si>
  <si>
    <t>3370-8-4</t>
  </si>
  <si>
    <t>3370-8-4-16</t>
  </si>
  <si>
    <t>3410-8</t>
  </si>
  <si>
    <t>3410-8-5</t>
  </si>
  <si>
    <t>3410-8-5-96</t>
  </si>
  <si>
    <t>LIBAR KO SAMSYA</t>
  </si>
  <si>
    <t>3441-1</t>
  </si>
  <si>
    <t>3441-1-4</t>
  </si>
  <si>
    <t>3441-1-4-23</t>
  </si>
  <si>
    <t>Skin diseases</t>
  </si>
  <si>
    <t>BRAIN PROBLEM - SCARS</t>
  </si>
  <si>
    <t>Government Hospital, Pharmacy/Drug Seller, Private Clinic, Private/Community Hospital, Alternative/Traditional Healer</t>
  </si>
  <si>
    <t>3454-4</t>
  </si>
  <si>
    <t>3454-4-2</t>
  </si>
  <si>
    <t>3454-4-2-13</t>
  </si>
  <si>
    <t>3465-11</t>
  </si>
  <si>
    <t>3465-11-1</t>
  </si>
  <si>
    <t>3465-11-1-3</t>
  </si>
  <si>
    <t>3470-10</t>
  </si>
  <si>
    <t>3470-10-5</t>
  </si>
  <si>
    <t>3470-10-5-4</t>
  </si>
  <si>
    <t>3470-7</t>
  </si>
  <si>
    <t>3470-7-4</t>
  </si>
  <si>
    <t>3470-7-4-4</t>
  </si>
  <si>
    <t>3504-9</t>
  </si>
  <si>
    <t>3504-9-1</t>
  </si>
  <si>
    <t>3504-9-1-8</t>
  </si>
  <si>
    <t>3530-3</t>
  </si>
  <si>
    <t>3530-3-2</t>
  </si>
  <si>
    <t>3530-3-2-2</t>
  </si>
  <si>
    <t>3534-7</t>
  </si>
  <si>
    <t>3534-7-1</t>
  </si>
  <si>
    <t>3534-7-1-2</t>
  </si>
  <si>
    <t>3600-3</t>
  </si>
  <si>
    <t>3600-3-2</t>
  </si>
  <si>
    <t>3600-3-2-16</t>
  </si>
  <si>
    <t>NA</t>
  </si>
  <si>
    <t>3604-3</t>
  </si>
  <si>
    <t>3604-3-5</t>
  </si>
  <si>
    <t>3604-3-5-4</t>
  </si>
  <si>
    <t>4101-18</t>
  </si>
  <si>
    <t>4101-18-1</t>
  </si>
  <si>
    <t>4101-18-1-13</t>
  </si>
  <si>
    <t>4101-19</t>
  </si>
  <si>
    <t>4101-19-1</t>
  </si>
  <si>
    <t>4101-19-1-6</t>
  </si>
  <si>
    <t>4101-2</t>
  </si>
  <si>
    <t>4101-2-1</t>
  </si>
  <si>
    <t>4101-2-1-13</t>
  </si>
  <si>
    <t>4101-6</t>
  </si>
  <si>
    <t>4101-6-1</t>
  </si>
  <si>
    <t>4101-6-1-16</t>
  </si>
  <si>
    <t>4103-10</t>
  </si>
  <si>
    <t>4103-10-4</t>
  </si>
  <si>
    <t>4103-10-4-1</t>
  </si>
  <si>
    <t>4103-20</t>
  </si>
  <si>
    <t>4103-20-2</t>
  </si>
  <si>
    <t>4103-20-2-16</t>
  </si>
  <si>
    <t>4104-14</t>
  </si>
  <si>
    <t>4104-14-7</t>
  </si>
  <si>
    <t>4104-14-7-24</t>
  </si>
  <si>
    <t>4104-8</t>
  </si>
  <si>
    <t>4104-8-1</t>
  </si>
  <si>
    <t>4104-8-1-18</t>
  </si>
  <si>
    <t>4104-9</t>
  </si>
  <si>
    <t>4104-9-5</t>
  </si>
  <si>
    <t>4104-9-5-2</t>
  </si>
  <si>
    <t>4105-10</t>
  </si>
  <si>
    <t>4105-10-1</t>
  </si>
  <si>
    <t>4105-10-1-1</t>
  </si>
  <si>
    <t>4105-11</t>
  </si>
  <si>
    <t>4105-11-2</t>
  </si>
  <si>
    <t>4105-11-2-14</t>
  </si>
  <si>
    <t>4105-8</t>
  </si>
  <si>
    <t>4105-8-1</t>
  </si>
  <si>
    <t>4105-8-1-4</t>
  </si>
  <si>
    <t>4106-19</t>
  </si>
  <si>
    <t>4106-19-2</t>
  </si>
  <si>
    <t>4106-19-2-8</t>
  </si>
  <si>
    <t>4107-11</t>
  </si>
  <si>
    <t>4107-11-1</t>
  </si>
  <si>
    <t>4107-11-1-2</t>
  </si>
  <si>
    <t>4107-18</t>
  </si>
  <si>
    <t>4107-18-2</t>
  </si>
  <si>
    <t>4107-18-2-15</t>
  </si>
  <si>
    <t>Government Hospital, Private Ayurveda Centre</t>
  </si>
  <si>
    <t>4108-14</t>
  </si>
  <si>
    <t>4108-14-1</t>
  </si>
  <si>
    <t>4108-14-1-96</t>
  </si>
  <si>
    <t>VARICOSE VEINS</t>
  </si>
  <si>
    <t>4109-6</t>
  </si>
  <si>
    <t>4109-6-1</t>
  </si>
  <si>
    <t>4109-6-1-25</t>
  </si>
  <si>
    <t>Paralysis</t>
  </si>
  <si>
    <t>PARALYSIS</t>
  </si>
  <si>
    <t>Others</t>
  </si>
  <si>
    <t>4109-7</t>
  </si>
  <si>
    <t>4109-7-2</t>
  </si>
  <si>
    <t>4109-7-2-2</t>
  </si>
  <si>
    <t>4203-15</t>
  </si>
  <si>
    <t>4203-15-1</t>
  </si>
  <si>
    <t>4203-15-1-8</t>
  </si>
  <si>
    <t>4204-12</t>
  </si>
  <si>
    <t>4204-12-2</t>
  </si>
  <si>
    <t>4204-12-2-13</t>
  </si>
  <si>
    <t>PILES</t>
  </si>
  <si>
    <t>4204-19</t>
  </si>
  <si>
    <t>4204-19-1</t>
  </si>
  <si>
    <t>4204-19-1-7</t>
  </si>
  <si>
    <t>4204-20</t>
  </si>
  <si>
    <t>4204-20-1</t>
  </si>
  <si>
    <t>4204-20-1-14</t>
  </si>
  <si>
    <t>4204-6</t>
  </si>
  <si>
    <t>4204-6-1</t>
  </si>
  <si>
    <t>4204-6-1-2</t>
  </si>
  <si>
    <t>4205-13</t>
  </si>
  <si>
    <t>4205-13-2</t>
  </si>
  <si>
    <t>4205-13-2-14</t>
  </si>
  <si>
    <t>4207-5</t>
  </si>
  <si>
    <t>4207-5-2</t>
  </si>
  <si>
    <t>4207-5-2-8</t>
  </si>
  <si>
    <t>4209-1</t>
  </si>
  <si>
    <t>4209-1-1</t>
  </si>
  <si>
    <t>4209-1-1-13</t>
  </si>
  <si>
    <t>4209-17</t>
  </si>
  <si>
    <t>4209-17-2</t>
  </si>
  <si>
    <t>4209-17-2-3</t>
  </si>
  <si>
    <t>4209-7</t>
  </si>
  <si>
    <t>4209-7-1</t>
  </si>
  <si>
    <t>4209-7-1-7</t>
  </si>
  <si>
    <t>4404-3</t>
  </si>
  <si>
    <t>4404-3-1</t>
  </si>
  <si>
    <t>4404-3-1-3</t>
  </si>
  <si>
    <t>4426-1</t>
  </si>
  <si>
    <t>4426-1-1</t>
  </si>
  <si>
    <t>4426-1-1-7</t>
  </si>
  <si>
    <t>5101-4</t>
  </si>
  <si>
    <t>5101-4-5</t>
  </si>
  <si>
    <t>5101-4-5-4</t>
  </si>
  <si>
    <t>5101-7</t>
  </si>
  <si>
    <t>5101-7-1</t>
  </si>
  <si>
    <t>5101-7-1-4</t>
  </si>
  <si>
    <t>5102-1</t>
  </si>
  <si>
    <t>5102-1-2</t>
  </si>
  <si>
    <t>5102-1-2-15</t>
  </si>
  <si>
    <t>5103-14</t>
  </si>
  <si>
    <t>5103-14-1</t>
  </si>
  <si>
    <t>5103-14-1-8</t>
  </si>
  <si>
    <t>5103-14-7</t>
  </si>
  <si>
    <t>5103-14-7-9</t>
  </si>
  <si>
    <t>5103-21</t>
  </si>
  <si>
    <t>5103-21-1</t>
  </si>
  <si>
    <t>5103-21-1-2</t>
  </si>
  <si>
    <t>5103-21-3</t>
  </si>
  <si>
    <t>5103-21-3-96</t>
  </si>
  <si>
    <t>LEG SWELLING</t>
  </si>
  <si>
    <t>Health Post, Pharmacy/Drug Seller, Government Hospital, Private Clinic</t>
  </si>
  <si>
    <t>5104-10</t>
  </si>
  <si>
    <t>5104-10-1</t>
  </si>
  <si>
    <t>5104-10-1-2</t>
  </si>
  <si>
    <t>5104-10-1-3</t>
  </si>
  <si>
    <t>5105-16</t>
  </si>
  <si>
    <t>5105-16-1</t>
  </si>
  <si>
    <t>5105-16-1-21</t>
  </si>
  <si>
    <t>5105-17</t>
  </si>
  <si>
    <t>5105-17-2</t>
  </si>
  <si>
    <t>5105-17-2-12</t>
  </si>
  <si>
    <t>5106-3</t>
  </si>
  <si>
    <t>5106-3-2</t>
  </si>
  <si>
    <t>5106-3-2-15</t>
  </si>
  <si>
    <t>5106-6</t>
  </si>
  <si>
    <t>5106-6-2</t>
  </si>
  <si>
    <t>5106-6-2-14</t>
  </si>
  <si>
    <t>5107-12</t>
  </si>
  <si>
    <t>5107-12-1</t>
  </si>
  <si>
    <t>5107-12-1-6</t>
  </si>
  <si>
    <t>5107-13</t>
  </si>
  <si>
    <t>5107-13-1</t>
  </si>
  <si>
    <t>5107-13-1-24</t>
  </si>
  <si>
    <t>EYE DISEASE.</t>
  </si>
  <si>
    <t>5107-15</t>
  </si>
  <si>
    <t>5107-15-1</t>
  </si>
  <si>
    <t>5107-15-1-1</t>
  </si>
  <si>
    <t>5107-16</t>
  </si>
  <si>
    <t>5107-16-1</t>
  </si>
  <si>
    <t>5107-16-1-96</t>
  </si>
  <si>
    <t>SCRUBE TIFUS</t>
  </si>
  <si>
    <t>5107-19</t>
  </si>
  <si>
    <t>5107-19-4</t>
  </si>
  <si>
    <t>5107-19-4-2</t>
  </si>
  <si>
    <t>5108-16</t>
  </si>
  <si>
    <t>5108-16-4</t>
  </si>
  <si>
    <t>5108-16-4-1</t>
  </si>
  <si>
    <t>5108-17</t>
  </si>
  <si>
    <t>5108-17-4</t>
  </si>
  <si>
    <t>5108-17-4-1</t>
  </si>
  <si>
    <t>5108-18</t>
  </si>
  <si>
    <t>5108-18-2</t>
  </si>
  <si>
    <t>5108-18-2-4</t>
  </si>
  <si>
    <t>Pharmacy/Drug Seller, Government Hospital, Private/Community Hospital, Private Clinic</t>
  </si>
  <si>
    <t>5108-19</t>
  </si>
  <si>
    <t>5108-19-1</t>
  </si>
  <si>
    <t>5108-19-1-96</t>
  </si>
  <si>
    <t>EXCESSIVE ALCOHOL CONSUMPTION</t>
  </si>
  <si>
    <t>5108-2</t>
  </si>
  <si>
    <t>5108-2-1</t>
  </si>
  <si>
    <t>5108-2-1-6</t>
  </si>
  <si>
    <t>5108-7</t>
  </si>
  <si>
    <t>5108-7-5</t>
  </si>
  <si>
    <t>5108-7-5-18</t>
  </si>
  <si>
    <t>5110-1</t>
  </si>
  <si>
    <t>5110-1-1</t>
  </si>
  <si>
    <t>5110-1-1-14</t>
  </si>
  <si>
    <t>5110-8</t>
  </si>
  <si>
    <t>5110-8-1</t>
  </si>
  <si>
    <t>5110-8-1-4</t>
  </si>
  <si>
    <t>5111-19</t>
  </si>
  <si>
    <t>5111-19-2</t>
  </si>
  <si>
    <t>5111-19-2-2</t>
  </si>
  <si>
    <t>5111-7</t>
  </si>
  <si>
    <t>5111-7-1</t>
  </si>
  <si>
    <t>5111-7-1-1</t>
  </si>
  <si>
    <t>5111-7-2</t>
  </si>
  <si>
    <t>5111-7-2-1</t>
  </si>
  <si>
    <t>5201-11</t>
  </si>
  <si>
    <t>5201-11-1</t>
  </si>
  <si>
    <t>5201-11-1-13</t>
  </si>
  <si>
    <t>5202-7</t>
  </si>
  <si>
    <t>5202-7-2</t>
  </si>
  <si>
    <t>5202-7-2-2</t>
  </si>
  <si>
    <t>5203-8</t>
  </si>
  <si>
    <t>5203-8-1</t>
  </si>
  <si>
    <t>5203-8-1-3</t>
  </si>
  <si>
    <t>Health Post</t>
  </si>
  <si>
    <t>5204-7</t>
  </si>
  <si>
    <t>5204-7-2</t>
  </si>
  <si>
    <t>5204-7-2-2</t>
  </si>
  <si>
    <t>5205-18</t>
  </si>
  <si>
    <t>5205-18-2</t>
  </si>
  <si>
    <t>5205-18-2-13</t>
  </si>
  <si>
    <t>5207-14</t>
  </si>
  <si>
    <t>5207-14-1</t>
  </si>
  <si>
    <t>5207-14-1-96</t>
  </si>
  <si>
    <t>ADMITTED WITH BROKEN LEG.SHE WAS TAKEN TO TULSIPUR INDIA FOR TREATMENTWHICH COSTS APPROX.NPR..</t>
  </si>
  <si>
    <t>5207-15</t>
  </si>
  <si>
    <t>5207-15-2</t>
  </si>
  <si>
    <t>5207-15-2-7</t>
  </si>
  <si>
    <t>LIVER PROBLEM</t>
  </si>
  <si>
    <t>5207-15-4</t>
  </si>
  <si>
    <t>5207-15-4-14</t>
  </si>
  <si>
    <t>BREAST TUMER.DURING THE TREATMENT OF BREAST TUMER APPROXIMATELY  LAKH RUPEES WERE SPENT ON GOING TO INDIA FOR TREATMENT.</t>
  </si>
  <si>
    <t>Government Hospital, Private/Community Hospital, Private Clinic, Abroad (India/Other)</t>
  </si>
  <si>
    <t>5210-17</t>
  </si>
  <si>
    <t>5210-17-1</t>
  </si>
  <si>
    <t>5210-17-1-4</t>
  </si>
  <si>
    <t>5211-12</t>
  </si>
  <si>
    <t>5211-12-1</t>
  </si>
  <si>
    <t>5211-12-1-2</t>
  </si>
  <si>
    <t>5321-12</t>
  </si>
  <si>
    <t>5321-12-4</t>
  </si>
  <si>
    <t>5321-12-4-17</t>
  </si>
  <si>
    <t>Alzheimer's/Parkinson's</t>
  </si>
  <si>
    <t>6101-10</t>
  </si>
  <si>
    <t>6101-10-1</t>
  </si>
  <si>
    <t>6101-10-1-15</t>
  </si>
  <si>
    <t>6101-9</t>
  </si>
  <si>
    <t>6101-9-2</t>
  </si>
  <si>
    <t>6101-9-2-7</t>
  </si>
  <si>
    <t>6102-18</t>
  </si>
  <si>
    <t>6102-18-2</t>
  </si>
  <si>
    <t>6102-18-2-18</t>
  </si>
  <si>
    <t>6103-13</t>
  </si>
  <si>
    <t>6103-13-2</t>
  </si>
  <si>
    <t>6103-13-2-16</t>
  </si>
  <si>
    <t>6104-16</t>
  </si>
  <si>
    <t>6104-16-4</t>
  </si>
  <si>
    <t>6104-16-4-18</t>
  </si>
  <si>
    <t>6105-10</t>
  </si>
  <si>
    <t>6105-10-1</t>
  </si>
  <si>
    <t>6105-10-1-21</t>
  </si>
  <si>
    <t>6105-17</t>
  </si>
  <si>
    <t>6105-17-3</t>
  </si>
  <si>
    <t>6105-17-3-2</t>
  </si>
  <si>
    <t>6106-2</t>
  </si>
  <si>
    <t>6106-2-2</t>
  </si>
  <si>
    <t>6106-2-2-2</t>
  </si>
  <si>
    <t>6107-9</t>
  </si>
  <si>
    <t>6107-9-1</t>
  </si>
  <si>
    <t>6107-9-1-4</t>
  </si>
  <si>
    <t>6206-16</t>
  </si>
  <si>
    <t>6206-16-1</t>
  </si>
  <si>
    <t>6206-16-1-2</t>
  </si>
  <si>
    <t>6206-18</t>
  </si>
  <si>
    <t>6206-18-1</t>
  </si>
  <si>
    <t>6206-18-1-18</t>
  </si>
  <si>
    <t>6316-9</t>
  </si>
  <si>
    <t>6316-9-2</t>
  </si>
  <si>
    <t>6316-9-2-96</t>
  </si>
  <si>
    <t>ALLERGY</t>
  </si>
  <si>
    <t>7101-2</t>
  </si>
  <si>
    <t>7101-2-6</t>
  </si>
  <si>
    <t>7101-2-6-4</t>
  </si>
  <si>
    <t>7101-3</t>
  </si>
  <si>
    <t>7101-3-1</t>
  </si>
  <si>
    <t>7101-3-1-13</t>
  </si>
  <si>
    <t>ULCER</t>
  </si>
  <si>
    <t>7101-5</t>
  </si>
  <si>
    <t>7101-5-6</t>
  </si>
  <si>
    <t>7101-5-6-4</t>
  </si>
  <si>
    <t>7102-9</t>
  </si>
  <si>
    <t>7102-9-2</t>
  </si>
  <si>
    <t>7102-9-2-1</t>
  </si>
  <si>
    <t>7103-19</t>
  </si>
  <si>
    <t>7103-19-1</t>
  </si>
  <si>
    <t>7103-19-1-4</t>
  </si>
  <si>
    <t>Primary Health Centre, Private Clinic</t>
  </si>
  <si>
    <t>7103-7</t>
  </si>
  <si>
    <t>7103-7-2</t>
  </si>
  <si>
    <t>7103-7-2-1</t>
  </si>
  <si>
    <t>Abroad (India/Other), Government Hospital</t>
  </si>
  <si>
    <t>7103-7-2-2</t>
  </si>
  <si>
    <t>Health Post, Government Hospital</t>
  </si>
  <si>
    <t>7103-7-2-12</t>
  </si>
  <si>
    <t>7104-18</t>
  </si>
  <si>
    <t>7104-18-7</t>
  </si>
  <si>
    <t>7104-18-7-4</t>
  </si>
  <si>
    <t>Abroad (India/Other), Primary Health Centre, Government Hospital</t>
  </si>
  <si>
    <t>7105-15</t>
  </si>
  <si>
    <t>7105-15-2</t>
  </si>
  <si>
    <t>7105-15-2-3</t>
  </si>
  <si>
    <t>7107-13</t>
  </si>
  <si>
    <t>7107-13-6</t>
  </si>
  <si>
    <t>7107-13-6-8</t>
  </si>
  <si>
    <t>7108-9</t>
  </si>
  <si>
    <t>7108-9-2</t>
  </si>
  <si>
    <t>7108-9-2-8</t>
  </si>
  <si>
    <t>7109-20</t>
  </si>
  <si>
    <t>7109-20-2</t>
  </si>
  <si>
    <t>7109-20-2-15</t>
  </si>
  <si>
    <t>7109-3</t>
  </si>
  <si>
    <t>7109-3-3</t>
  </si>
  <si>
    <t>7109-3-3-96</t>
  </si>
  <si>
    <t>PLEURAL EFFUSION</t>
  </si>
  <si>
    <t>7109-9</t>
  </si>
  <si>
    <t>7109-9-1</t>
  </si>
  <si>
    <t>7109-9-1-8</t>
  </si>
  <si>
    <t>7201-1</t>
  </si>
  <si>
    <t>7201-1-3</t>
  </si>
  <si>
    <t>7201-1-3-18</t>
  </si>
  <si>
    <t>Abroad (India/Other), Government Hospital, Private Clinic</t>
  </si>
  <si>
    <t>7201-3</t>
  </si>
  <si>
    <t>7201-3-5</t>
  </si>
  <si>
    <t>7201-3-5-4</t>
  </si>
  <si>
    <t>7205-7</t>
  </si>
  <si>
    <t>7205-7-2</t>
  </si>
  <si>
    <t>7205-7-2-8</t>
  </si>
  <si>
    <t>Notes</t>
  </si>
  <si>
    <t>The total cost is taken as the main "determining" figure for all the categories.</t>
  </si>
  <si>
    <t>Bed charges adjusted to diseases/ conditions (assumption: 5 - 10 days hospital stay)</t>
  </si>
  <si>
    <t>Surplus bed charges addedd to medicines 9and if necessary to Lab and imaging)</t>
  </si>
  <si>
    <t>Cost on "Others" adjusted to care giver and food. If not categorically mentioed to "medicines"</t>
  </si>
  <si>
    <t>Highlighted area need further discussion.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</si>
</sst>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000000"/>
      <name val="Calibri"/>
      <charset val="1"/>
    </font>
    <font>
      <sz val="11"/>
      <color rgb="FFFF0000"/>
      <name val="Calibri"/>
      <charset val="1"/>
    </font>
    <font>
      <sz val="11"/>
      <color theme="6" tint="-0.5"/>
      <name val="Calibri"/>
      <charset val="134"/>
      <scheme val="minor"/>
    </font>
    <font>
      <sz val="11"/>
      <color theme="4"/>
      <name val="Calibri"/>
      <charset val="134"/>
      <scheme val="minor"/>
    </font>
    <font>
      <sz val="11"/>
      <color rgb="FF00B0F0"/>
      <name val="Calibri"/>
      <charset val="134"/>
      <scheme val="minor"/>
    </font>
    <font>
      <b/>
      <sz val="11"/>
      <color rgb="FF00B0F0"/>
      <name val="Calibri"/>
      <charset val="134"/>
      <scheme val="minor"/>
    </font>
    <font>
      <sz val="11"/>
      <name val="Calibri"/>
      <charset val="134"/>
      <scheme val="minor"/>
    </font>
    <font>
      <sz val="11"/>
      <color theme="3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/>
    <xf numFmtId="0" fontId="6" fillId="0" borderId="0" xfId="0" applyFont="1"/>
    <xf numFmtId="0" fontId="0" fillId="2" borderId="0" xfId="0" applyFill="1"/>
    <xf numFmtId="0" fontId="7" fillId="0" borderId="0" xfId="0" applyFont="1"/>
    <xf numFmtId="0" fontId="1" fillId="0" borderId="0" xfId="0" applyFont="1" applyAlignment="1">
      <alignment horizontal="center"/>
    </xf>
    <xf numFmtId="0" fontId="8" fillId="0" borderId="0" xfId="0" applyFont="1"/>
    <xf numFmtId="0" fontId="8" fillId="2" borderId="0" xfId="0" applyFont="1" applyFill="1"/>
    <xf numFmtId="0" fontId="7" fillId="2" borderId="0" xfId="0" applyFont="1" applyFill="1"/>
    <xf numFmtId="0" fontId="9" fillId="2" borderId="0" xfId="0" applyFont="1" applyFill="1"/>
    <xf numFmtId="0" fontId="0" fillId="3" borderId="0" xfId="0" applyFill="1"/>
    <xf numFmtId="0" fontId="10" fillId="3" borderId="0" xfId="0" applyFont="1" applyFill="1"/>
    <xf numFmtId="0" fontId="9" fillId="2" borderId="0" xfId="0" applyFont="1" applyFill="1"/>
    <xf numFmtId="0" fontId="11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60"/>
  <sheetViews>
    <sheetView tabSelected="1" workbookViewId="0">
      <pane ySplit="1" topLeftCell="A2" activePane="bottomLeft" state="frozen"/>
      <selection/>
      <selection pane="bottomLeft" activeCell="L29" sqref="L29"/>
    </sheetView>
  </sheetViews>
  <sheetFormatPr defaultColWidth="11" defaultRowHeight="15"/>
  <cols>
    <col min="1" max="1" width="9" hidden="1" customWidth="1"/>
    <col min="2" max="2" width="9.85714285714286" hidden="1" customWidth="1"/>
    <col min="3" max="3" width="7.71428571428571" customWidth="1"/>
    <col min="4" max="4" width="11" hidden="1" customWidth="1"/>
    <col min="5" max="5" width="8.71428571428571" customWidth="1"/>
    <col min="6" max="6" width="7.42857142857143" customWidth="1"/>
    <col min="7" max="7" width="11" style="1" hidden="1" customWidth="1"/>
    <col min="8" max="8" width="6.28571428571429" style="1" hidden="1" customWidth="1"/>
    <col min="9" max="9" width="8" style="1" hidden="1" customWidth="1"/>
    <col min="10" max="10" width="7.85714285714286" hidden="1" customWidth="1"/>
    <col min="22" max="22" width="11" style="2"/>
    <col min="23" max="23" width="5.14285714285714" customWidth="1"/>
    <col min="25" max="25" width="11" style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0" t="s">
        <v>21</v>
      </c>
      <c r="W1" t="s">
        <v>22</v>
      </c>
      <c r="X1" t="s">
        <v>23</v>
      </c>
      <c r="Y1" s="1" t="s">
        <v>24</v>
      </c>
    </row>
    <row r="2" spans="1:25">
      <c r="A2" t="s">
        <v>25</v>
      </c>
      <c r="B2" t="s">
        <v>26</v>
      </c>
      <c r="C2">
        <v>9620</v>
      </c>
      <c r="D2" t="s">
        <v>27</v>
      </c>
      <c r="E2" t="s">
        <v>28</v>
      </c>
      <c r="G2" s="1" t="s">
        <v>29</v>
      </c>
      <c r="H2" s="1">
        <v>75</v>
      </c>
      <c r="I2" s="1">
        <v>1</v>
      </c>
      <c r="J2">
        <v>1</v>
      </c>
      <c r="K2" s="4"/>
      <c r="L2" s="4">
        <v>5000</v>
      </c>
      <c r="M2" s="5">
        <v>5000</v>
      </c>
      <c r="N2" s="5">
        <v>8000</v>
      </c>
      <c r="O2" s="5">
        <v>25000</v>
      </c>
      <c r="P2" s="5">
        <v>0</v>
      </c>
      <c r="Q2" s="5">
        <v>10000</v>
      </c>
      <c r="R2" s="5">
        <v>10000</v>
      </c>
      <c r="S2" s="5">
        <v>27000</v>
      </c>
      <c r="T2" s="4"/>
      <c r="U2">
        <v>90000</v>
      </c>
      <c r="V2" s="11">
        <f>(K2+L2+M2+N2+O2+P2+Q2+R2+S2+T2)</f>
        <v>90000</v>
      </c>
      <c r="W2">
        <v>0</v>
      </c>
      <c r="X2" t="s">
        <v>30</v>
      </c>
      <c r="Y2" s="1" t="s">
        <v>31</v>
      </c>
    </row>
    <row r="3" spans="1:25">
      <c r="A3" t="s">
        <v>32</v>
      </c>
      <c r="B3" t="s">
        <v>33</v>
      </c>
      <c r="C3">
        <v>11834</v>
      </c>
      <c r="D3" t="s">
        <v>34</v>
      </c>
      <c r="E3" t="s">
        <v>28</v>
      </c>
      <c r="G3" s="1" t="s">
        <v>35</v>
      </c>
      <c r="H3" s="1">
        <v>77</v>
      </c>
      <c r="I3" s="1">
        <v>2</v>
      </c>
      <c r="J3">
        <v>1</v>
      </c>
      <c r="K3">
        <v>0</v>
      </c>
      <c r="L3" s="6">
        <v>15000</v>
      </c>
      <c r="M3" s="6">
        <v>5000</v>
      </c>
      <c r="N3" s="6">
        <v>22000</v>
      </c>
      <c r="O3" s="6">
        <v>31550</v>
      </c>
      <c r="P3" s="6">
        <v>0</v>
      </c>
      <c r="Q3" s="6">
        <v>150000</v>
      </c>
      <c r="R3" s="6">
        <v>10000</v>
      </c>
      <c r="S3" s="6">
        <v>32000</v>
      </c>
      <c r="T3" s="6">
        <v>0</v>
      </c>
      <c r="U3">
        <v>265550</v>
      </c>
      <c r="V3" s="11">
        <f t="shared" ref="V3:V66" si="0">(K3+L3+M3+N3+O3+P3+Q3+R3+S3+T3)</f>
        <v>265550</v>
      </c>
      <c r="W3">
        <v>0</v>
      </c>
      <c r="X3" t="s">
        <v>36</v>
      </c>
      <c r="Y3" s="1" t="s">
        <v>31</v>
      </c>
    </row>
    <row r="4" spans="1:25">
      <c r="A4" t="s">
        <v>37</v>
      </c>
      <c r="B4" t="s">
        <v>38</v>
      </c>
      <c r="C4">
        <v>12012</v>
      </c>
      <c r="D4" t="s">
        <v>39</v>
      </c>
      <c r="E4" t="s">
        <v>40</v>
      </c>
      <c r="F4" t="s">
        <v>41</v>
      </c>
      <c r="G4" s="1" t="s">
        <v>35</v>
      </c>
      <c r="H4" s="1">
        <v>72</v>
      </c>
      <c r="I4" s="1">
        <v>2</v>
      </c>
      <c r="J4">
        <v>1</v>
      </c>
      <c r="K4" s="6">
        <v>10000</v>
      </c>
      <c r="L4" s="7">
        <v>40000</v>
      </c>
      <c r="M4" s="6">
        <v>15000</v>
      </c>
      <c r="N4" s="6">
        <v>55000</v>
      </c>
      <c r="O4" s="7">
        <v>180000</v>
      </c>
      <c r="P4" s="6">
        <v>240000</v>
      </c>
      <c r="Q4" s="6">
        <v>280000</v>
      </c>
      <c r="R4" s="6">
        <v>60000</v>
      </c>
      <c r="S4" s="6">
        <v>100000</v>
      </c>
      <c r="T4" s="6">
        <v>0</v>
      </c>
      <c r="U4">
        <v>980000</v>
      </c>
      <c r="V4" s="11">
        <f t="shared" si="0"/>
        <v>980000</v>
      </c>
      <c r="W4">
        <v>0</v>
      </c>
      <c r="X4" t="s">
        <v>42</v>
      </c>
      <c r="Y4" s="1" t="s">
        <v>31</v>
      </c>
    </row>
    <row r="5" spans="1:25">
      <c r="A5" t="s">
        <v>43</v>
      </c>
      <c r="B5" t="s">
        <v>44</v>
      </c>
      <c r="C5">
        <v>9748</v>
      </c>
      <c r="D5" t="s">
        <v>45</v>
      </c>
      <c r="E5" t="s">
        <v>28</v>
      </c>
      <c r="G5" s="1" t="s">
        <v>35</v>
      </c>
      <c r="H5" s="1">
        <v>79</v>
      </c>
      <c r="I5" s="1">
        <v>3</v>
      </c>
      <c r="J5">
        <v>1</v>
      </c>
      <c r="K5">
        <v>1000</v>
      </c>
      <c r="L5">
        <v>5000</v>
      </c>
      <c r="M5">
        <v>4500</v>
      </c>
      <c r="N5">
        <v>5320</v>
      </c>
      <c r="O5">
        <v>4500</v>
      </c>
      <c r="P5">
        <v>0</v>
      </c>
      <c r="Q5">
        <v>10000</v>
      </c>
      <c r="R5">
        <v>0</v>
      </c>
      <c r="S5">
        <v>0</v>
      </c>
      <c r="T5">
        <v>0</v>
      </c>
      <c r="U5">
        <v>30321</v>
      </c>
      <c r="V5" s="11">
        <f t="shared" si="0"/>
        <v>30320</v>
      </c>
      <c r="W5">
        <v>0</v>
      </c>
      <c r="X5" t="s">
        <v>46</v>
      </c>
      <c r="Y5" s="1" t="s">
        <v>31</v>
      </c>
    </row>
    <row r="6" spans="1:25">
      <c r="A6" t="s">
        <v>47</v>
      </c>
      <c r="B6" t="s">
        <v>48</v>
      </c>
      <c r="C6">
        <v>4636</v>
      </c>
      <c r="D6" t="s">
        <v>49</v>
      </c>
      <c r="E6" t="s">
        <v>50</v>
      </c>
      <c r="G6" s="1" t="s">
        <v>35</v>
      </c>
      <c r="H6" s="1">
        <v>60</v>
      </c>
      <c r="I6" s="1">
        <v>2</v>
      </c>
      <c r="J6">
        <v>3</v>
      </c>
      <c r="K6" s="8"/>
      <c r="L6" s="8">
        <v>105</v>
      </c>
      <c r="M6" s="8"/>
      <c r="N6" s="8"/>
      <c r="O6" s="8"/>
      <c r="P6" s="8"/>
      <c r="Q6" s="8"/>
      <c r="R6" s="8"/>
      <c r="S6" s="8"/>
      <c r="T6" s="8"/>
      <c r="U6" s="8">
        <v>105</v>
      </c>
      <c r="V6" s="12">
        <f t="shared" si="0"/>
        <v>105</v>
      </c>
      <c r="W6">
        <v>0</v>
      </c>
      <c r="X6" t="s">
        <v>46</v>
      </c>
      <c r="Y6" s="1" t="s">
        <v>31</v>
      </c>
    </row>
    <row r="7" spans="1:25">
      <c r="A7" t="s">
        <v>51</v>
      </c>
      <c r="B7" t="s">
        <v>52</v>
      </c>
      <c r="C7">
        <v>10655</v>
      </c>
      <c r="D7" t="s">
        <v>53</v>
      </c>
      <c r="E7" t="s">
        <v>28</v>
      </c>
      <c r="G7" s="1" t="s">
        <v>35</v>
      </c>
      <c r="H7" s="1">
        <v>78</v>
      </c>
      <c r="I7" s="1">
        <v>6</v>
      </c>
      <c r="J7">
        <v>1</v>
      </c>
      <c r="K7">
        <v>0</v>
      </c>
      <c r="L7">
        <v>1500</v>
      </c>
      <c r="M7">
        <v>3000</v>
      </c>
      <c r="N7">
        <v>4500</v>
      </c>
      <c r="O7">
        <v>4000</v>
      </c>
      <c r="P7">
        <v>0</v>
      </c>
      <c r="Q7">
        <v>6000</v>
      </c>
      <c r="R7">
        <v>0</v>
      </c>
      <c r="S7">
        <v>0</v>
      </c>
      <c r="T7">
        <v>0</v>
      </c>
      <c r="U7">
        <v>19000</v>
      </c>
      <c r="V7" s="11">
        <f t="shared" si="0"/>
        <v>19000</v>
      </c>
      <c r="W7">
        <v>0</v>
      </c>
      <c r="X7" t="s">
        <v>54</v>
      </c>
      <c r="Y7" s="1" t="s">
        <v>31</v>
      </c>
    </row>
    <row r="8" spans="1:25">
      <c r="A8" t="s">
        <v>55</v>
      </c>
      <c r="B8" t="s">
        <v>56</v>
      </c>
      <c r="C8">
        <v>4440</v>
      </c>
      <c r="D8" t="s">
        <v>57</v>
      </c>
      <c r="E8" t="s">
        <v>58</v>
      </c>
      <c r="G8" s="1" t="s">
        <v>29</v>
      </c>
      <c r="H8" s="1">
        <v>56</v>
      </c>
      <c r="I8" s="1">
        <v>3</v>
      </c>
      <c r="J8">
        <v>2</v>
      </c>
      <c r="K8">
        <v>0</v>
      </c>
      <c r="L8">
        <v>1000</v>
      </c>
      <c r="M8">
        <v>0</v>
      </c>
      <c r="N8">
        <v>1500</v>
      </c>
      <c r="O8">
        <v>3000</v>
      </c>
      <c r="P8">
        <v>0</v>
      </c>
      <c r="Q8">
        <v>500</v>
      </c>
      <c r="R8">
        <v>0</v>
      </c>
      <c r="S8">
        <v>0</v>
      </c>
      <c r="T8">
        <v>0</v>
      </c>
      <c r="U8">
        <v>6000</v>
      </c>
      <c r="V8" s="11">
        <f t="shared" si="0"/>
        <v>6000</v>
      </c>
      <c r="W8">
        <v>0</v>
      </c>
      <c r="X8" t="s">
        <v>54</v>
      </c>
      <c r="Y8" s="1" t="s">
        <v>31</v>
      </c>
    </row>
    <row r="9" spans="1:25">
      <c r="A9" t="s">
        <v>59</v>
      </c>
      <c r="B9" t="s">
        <v>60</v>
      </c>
      <c r="C9">
        <v>10498</v>
      </c>
      <c r="D9" t="s">
        <v>61</v>
      </c>
      <c r="E9" t="s">
        <v>62</v>
      </c>
      <c r="G9" s="1" t="s">
        <v>35</v>
      </c>
      <c r="H9" s="1">
        <v>74</v>
      </c>
      <c r="I9" s="1">
        <v>5</v>
      </c>
      <c r="J9">
        <v>1</v>
      </c>
      <c r="K9" s="6">
        <v>1000</v>
      </c>
      <c r="L9" s="6">
        <v>5000</v>
      </c>
      <c r="M9">
        <v>10000</v>
      </c>
      <c r="N9">
        <v>2500</v>
      </c>
      <c r="O9">
        <v>75000</v>
      </c>
      <c r="P9">
        <v>21500</v>
      </c>
      <c r="Q9">
        <v>5000</v>
      </c>
      <c r="R9">
        <v>10000</v>
      </c>
      <c r="S9">
        <v>20000</v>
      </c>
      <c r="T9">
        <v>0</v>
      </c>
      <c r="U9">
        <v>150000</v>
      </c>
      <c r="V9" s="11">
        <f t="shared" si="0"/>
        <v>150000</v>
      </c>
      <c r="W9">
        <v>0</v>
      </c>
      <c r="X9" t="s">
        <v>54</v>
      </c>
      <c r="Y9" s="1" t="s">
        <v>31</v>
      </c>
    </row>
    <row r="10" spans="1:25">
      <c r="A10" t="s">
        <v>63</v>
      </c>
      <c r="B10" t="s">
        <v>64</v>
      </c>
      <c r="C10">
        <v>11748</v>
      </c>
      <c r="D10" t="s">
        <v>65</v>
      </c>
      <c r="E10" t="s">
        <v>66</v>
      </c>
      <c r="G10" s="1" t="s">
        <v>29</v>
      </c>
      <c r="H10" s="1">
        <v>52</v>
      </c>
      <c r="I10" s="1">
        <v>6</v>
      </c>
      <c r="J10">
        <v>1</v>
      </c>
      <c r="L10" s="7">
        <v>5000</v>
      </c>
      <c r="M10" s="9">
        <v>9000</v>
      </c>
      <c r="N10" s="9">
        <v>12000</v>
      </c>
      <c r="O10" s="7">
        <v>82000</v>
      </c>
      <c r="T10" s="6">
        <v>0</v>
      </c>
      <c r="U10">
        <v>108000</v>
      </c>
      <c r="V10" s="11">
        <f t="shared" si="0"/>
        <v>108000</v>
      </c>
      <c r="W10">
        <v>0</v>
      </c>
      <c r="X10" t="s">
        <v>67</v>
      </c>
      <c r="Y10" s="1" t="s">
        <v>31</v>
      </c>
    </row>
    <row r="11" spans="1:25">
      <c r="A11" t="s">
        <v>68</v>
      </c>
      <c r="B11" t="s">
        <v>69</v>
      </c>
      <c r="C11">
        <v>3099</v>
      </c>
      <c r="D11" t="s">
        <v>70</v>
      </c>
      <c r="E11" t="s">
        <v>71</v>
      </c>
      <c r="G11" s="1" t="s">
        <v>35</v>
      </c>
      <c r="H11" s="1">
        <v>53</v>
      </c>
      <c r="I11" s="1">
        <v>3</v>
      </c>
      <c r="J11">
        <v>3</v>
      </c>
      <c r="K11" s="6">
        <v>2000</v>
      </c>
      <c r="L11" s="6">
        <v>28000</v>
      </c>
      <c r="M11" s="6">
        <v>10000</v>
      </c>
      <c r="N11">
        <v>20000</v>
      </c>
      <c r="O11">
        <v>140000</v>
      </c>
      <c r="P11">
        <v>0</v>
      </c>
      <c r="Q11">
        <v>10000</v>
      </c>
      <c r="R11">
        <v>10000</v>
      </c>
      <c r="S11">
        <v>30000</v>
      </c>
      <c r="T11">
        <v>0</v>
      </c>
      <c r="U11">
        <v>250000</v>
      </c>
      <c r="V11" s="11">
        <f t="shared" si="0"/>
        <v>250000</v>
      </c>
      <c r="W11">
        <v>0</v>
      </c>
      <c r="X11" t="s">
        <v>54</v>
      </c>
      <c r="Y11" s="1" t="s">
        <v>31</v>
      </c>
    </row>
    <row r="12" spans="1:25">
      <c r="A12" t="s">
        <v>72</v>
      </c>
      <c r="B12" t="s">
        <v>73</v>
      </c>
      <c r="C12">
        <v>4156</v>
      </c>
      <c r="D12" t="s">
        <v>74</v>
      </c>
      <c r="E12" t="s">
        <v>28</v>
      </c>
      <c r="G12" s="1" t="s">
        <v>35</v>
      </c>
      <c r="H12" s="1">
        <v>53</v>
      </c>
      <c r="I12" s="1">
        <v>10</v>
      </c>
      <c r="J12">
        <v>1</v>
      </c>
      <c r="K12">
        <v>120</v>
      </c>
      <c r="L12" s="9">
        <v>128</v>
      </c>
      <c r="M12">
        <v>500</v>
      </c>
      <c r="N12">
        <v>0</v>
      </c>
      <c r="O12">
        <v>1000</v>
      </c>
      <c r="P12">
        <v>0</v>
      </c>
      <c r="Q12" s="9">
        <v>400</v>
      </c>
      <c r="R12">
        <v>0</v>
      </c>
      <c r="S12">
        <v>0</v>
      </c>
      <c r="T12">
        <v>0</v>
      </c>
      <c r="U12">
        <v>2148</v>
      </c>
      <c r="V12" s="11">
        <f t="shared" si="0"/>
        <v>2148</v>
      </c>
      <c r="W12">
        <v>0</v>
      </c>
      <c r="X12" t="s">
        <v>54</v>
      </c>
      <c r="Y12" s="1" t="s">
        <v>31</v>
      </c>
    </row>
    <row r="13" spans="1:25">
      <c r="A13" t="s">
        <v>75</v>
      </c>
      <c r="B13" t="s">
        <v>76</v>
      </c>
      <c r="C13">
        <v>3021</v>
      </c>
      <c r="D13" t="s">
        <v>77</v>
      </c>
      <c r="E13" t="s">
        <v>78</v>
      </c>
      <c r="G13" s="1" t="s">
        <v>35</v>
      </c>
      <c r="H13" s="1">
        <v>29</v>
      </c>
      <c r="I13" s="1">
        <v>12</v>
      </c>
      <c r="J13">
        <v>1</v>
      </c>
      <c r="K13">
        <v>0</v>
      </c>
      <c r="L13">
        <v>15000</v>
      </c>
      <c r="M13">
        <v>17000</v>
      </c>
      <c r="N13">
        <v>20000</v>
      </c>
      <c r="O13">
        <v>100000</v>
      </c>
      <c r="P13">
        <v>0</v>
      </c>
      <c r="Q13">
        <v>15000</v>
      </c>
      <c r="R13">
        <v>25000</v>
      </c>
      <c r="T13">
        <v>0</v>
      </c>
      <c r="U13">
        <v>192000</v>
      </c>
      <c r="V13" s="11">
        <f t="shared" si="0"/>
        <v>192000</v>
      </c>
      <c r="W13">
        <v>0</v>
      </c>
      <c r="X13" t="s">
        <v>46</v>
      </c>
      <c r="Y13" s="1" t="s">
        <v>31</v>
      </c>
    </row>
    <row r="14" spans="1:25">
      <c r="A14" t="s">
        <v>79</v>
      </c>
      <c r="B14" t="s">
        <v>80</v>
      </c>
      <c r="C14">
        <v>11050</v>
      </c>
      <c r="D14" t="s">
        <v>81</v>
      </c>
      <c r="E14" t="s">
        <v>28</v>
      </c>
      <c r="G14" s="1" t="s">
        <v>35</v>
      </c>
      <c r="H14" s="1">
        <v>55</v>
      </c>
      <c r="I14" s="1">
        <v>12</v>
      </c>
      <c r="J14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12">
        <f t="shared" si="0"/>
        <v>0</v>
      </c>
      <c r="W14">
        <v>0</v>
      </c>
      <c r="X14" t="s">
        <v>42</v>
      </c>
      <c r="Y14" s="1" t="s">
        <v>31</v>
      </c>
    </row>
    <row r="15" spans="1:25">
      <c r="A15" t="s">
        <v>79</v>
      </c>
      <c r="B15" t="s">
        <v>82</v>
      </c>
      <c r="C15">
        <v>11050</v>
      </c>
      <c r="D15" t="s">
        <v>83</v>
      </c>
      <c r="E15" t="s">
        <v>62</v>
      </c>
      <c r="G15" s="1" t="s">
        <v>29</v>
      </c>
      <c r="H15" s="1">
        <v>32</v>
      </c>
      <c r="I15" s="1">
        <v>12</v>
      </c>
      <c r="J15">
        <v>1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12">
        <f t="shared" si="0"/>
        <v>0</v>
      </c>
      <c r="W15">
        <v>0</v>
      </c>
      <c r="X15" t="s">
        <v>42</v>
      </c>
      <c r="Y15" s="1" t="s">
        <v>31</v>
      </c>
    </row>
    <row r="16" spans="1:25">
      <c r="A16" t="s">
        <v>84</v>
      </c>
      <c r="B16" t="s">
        <v>85</v>
      </c>
      <c r="C16">
        <v>7481</v>
      </c>
      <c r="D16" t="s">
        <v>86</v>
      </c>
      <c r="E16" t="s">
        <v>28</v>
      </c>
      <c r="G16" s="1" t="s">
        <v>29</v>
      </c>
      <c r="H16" s="1">
        <v>65</v>
      </c>
      <c r="I16" s="1">
        <v>5</v>
      </c>
      <c r="J16">
        <v>3</v>
      </c>
      <c r="K16">
        <v>0</v>
      </c>
      <c r="L16" s="9">
        <v>3000</v>
      </c>
      <c r="M16">
        <v>0</v>
      </c>
      <c r="N16">
        <v>0</v>
      </c>
      <c r="O16" s="9">
        <v>12000</v>
      </c>
      <c r="P16">
        <v>0</v>
      </c>
      <c r="Q16">
        <v>0</v>
      </c>
      <c r="R16">
        <v>0</v>
      </c>
      <c r="S16">
        <v>0</v>
      </c>
      <c r="T16">
        <v>0</v>
      </c>
      <c r="U16">
        <v>15000</v>
      </c>
      <c r="V16" s="11">
        <f t="shared" si="0"/>
        <v>15000</v>
      </c>
      <c r="W16">
        <v>0</v>
      </c>
      <c r="X16" t="s">
        <v>42</v>
      </c>
      <c r="Y16" s="1" t="s">
        <v>31</v>
      </c>
    </row>
    <row r="17" spans="1:25">
      <c r="A17" t="s">
        <v>87</v>
      </c>
      <c r="B17" t="s">
        <v>88</v>
      </c>
      <c r="C17">
        <v>5509</v>
      </c>
      <c r="D17" t="s">
        <v>89</v>
      </c>
      <c r="E17" t="s">
        <v>90</v>
      </c>
      <c r="G17" s="1" t="s">
        <v>35</v>
      </c>
      <c r="H17" s="1">
        <v>55</v>
      </c>
      <c r="I17" s="1">
        <v>4</v>
      </c>
      <c r="J17">
        <v>1</v>
      </c>
      <c r="K17" s="6">
        <v>22100</v>
      </c>
      <c r="L17" s="6">
        <v>37000</v>
      </c>
      <c r="M17" s="6">
        <v>50000</v>
      </c>
      <c r="N17" s="6">
        <v>19000</v>
      </c>
      <c r="O17" s="6">
        <v>162000</v>
      </c>
      <c r="P17" s="6">
        <v>900</v>
      </c>
      <c r="Q17" s="6">
        <v>40000</v>
      </c>
      <c r="R17" s="6">
        <v>25000</v>
      </c>
      <c r="S17" s="6">
        <v>120000</v>
      </c>
      <c r="T17" s="6">
        <v>0</v>
      </c>
      <c r="U17">
        <v>476000</v>
      </c>
      <c r="V17" s="11">
        <f t="shared" si="0"/>
        <v>476000</v>
      </c>
      <c r="W17">
        <v>0</v>
      </c>
      <c r="X17" t="s">
        <v>46</v>
      </c>
      <c r="Y17" s="1" t="s">
        <v>31</v>
      </c>
    </row>
    <row r="18" spans="1:25">
      <c r="A18" t="s">
        <v>91</v>
      </c>
      <c r="B18" t="s">
        <v>92</v>
      </c>
      <c r="C18">
        <v>3875</v>
      </c>
      <c r="D18" t="s">
        <v>93</v>
      </c>
      <c r="E18" t="s">
        <v>71</v>
      </c>
      <c r="G18" s="1" t="s">
        <v>35</v>
      </c>
      <c r="H18" s="1">
        <v>53</v>
      </c>
      <c r="I18" s="1">
        <v>6</v>
      </c>
      <c r="J18">
        <v>2</v>
      </c>
      <c r="K18" s="8">
        <v>0</v>
      </c>
      <c r="L18" s="8">
        <v>0</v>
      </c>
      <c r="M18" s="8">
        <v>0</v>
      </c>
      <c r="N18" s="8">
        <v>0</v>
      </c>
      <c r="O18">
        <v>205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>
        <v>205</v>
      </c>
      <c r="V18" s="11">
        <f t="shared" si="0"/>
        <v>205</v>
      </c>
      <c r="W18">
        <v>0</v>
      </c>
      <c r="X18" t="s">
        <v>46</v>
      </c>
      <c r="Y18" s="1" t="s">
        <v>31</v>
      </c>
    </row>
    <row r="19" spans="1:25">
      <c r="A19" t="s">
        <v>94</v>
      </c>
      <c r="B19" t="s">
        <v>95</v>
      </c>
      <c r="C19">
        <v>13849</v>
      </c>
      <c r="D19" t="s">
        <v>96</v>
      </c>
      <c r="E19" t="s">
        <v>78</v>
      </c>
      <c r="G19" s="1" t="s">
        <v>29</v>
      </c>
      <c r="H19" s="1">
        <v>86</v>
      </c>
      <c r="I19" s="1">
        <v>3</v>
      </c>
      <c r="J19">
        <v>2</v>
      </c>
      <c r="L19" s="9">
        <v>1000</v>
      </c>
      <c r="O19" s="9">
        <v>8000</v>
      </c>
      <c r="Q19">
        <v>1000</v>
      </c>
      <c r="U19">
        <v>10000</v>
      </c>
      <c r="V19" s="11">
        <f t="shared" si="0"/>
        <v>10000</v>
      </c>
      <c r="W19">
        <v>0</v>
      </c>
      <c r="X19" t="s">
        <v>54</v>
      </c>
      <c r="Y19" s="1" t="s">
        <v>31</v>
      </c>
    </row>
    <row r="20" spans="1:25">
      <c r="A20" t="s">
        <v>97</v>
      </c>
      <c r="B20" t="s">
        <v>98</v>
      </c>
      <c r="C20">
        <v>1370</v>
      </c>
      <c r="D20" t="s">
        <v>99</v>
      </c>
      <c r="E20" t="s">
        <v>100</v>
      </c>
      <c r="G20" s="1" t="s">
        <v>29</v>
      </c>
      <c r="H20" s="1">
        <v>67</v>
      </c>
      <c r="I20" s="1">
        <v>6</v>
      </c>
      <c r="J20">
        <v>1</v>
      </c>
      <c r="L20">
        <v>1600</v>
      </c>
      <c r="O20">
        <v>3400</v>
      </c>
      <c r="U20">
        <v>5000</v>
      </c>
      <c r="V20" s="11">
        <f t="shared" si="0"/>
        <v>5000</v>
      </c>
      <c r="W20">
        <v>0</v>
      </c>
      <c r="X20" t="s">
        <v>54</v>
      </c>
      <c r="Y20" s="1" t="s">
        <v>31</v>
      </c>
    </row>
    <row r="21" spans="1:25">
      <c r="A21" t="s">
        <v>101</v>
      </c>
      <c r="B21" t="s">
        <v>102</v>
      </c>
      <c r="C21">
        <v>4778</v>
      </c>
      <c r="D21" t="s">
        <v>103</v>
      </c>
      <c r="E21" t="s">
        <v>28</v>
      </c>
      <c r="G21" s="1" t="s">
        <v>35</v>
      </c>
      <c r="H21" s="1">
        <v>46</v>
      </c>
      <c r="I21" s="1">
        <v>6</v>
      </c>
      <c r="J21">
        <v>1</v>
      </c>
      <c r="K21">
        <v>0</v>
      </c>
      <c r="L21">
        <v>50</v>
      </c>
      <c r="M21">
        <v>160</v>
      </c>
      <c r="N21">
        <v>0</v>
      </c>
      <c r="O21">
        <v>0</v>
      </c>
      <c r="P21">
        <v>0</v>
      </c>
      <c r="Q21">
        <v>200</v>
      </c>
      <c r="R21">
        <v>0</v>
      </c>
      <c r="S21">
        <v>0</v>
      </c>
      <c r="T21">
        <v>0</v>
      </c>
      <c r="U21">
        <v>410</v>
      </c>
      <c r="V21" s="11">
        <f t="shared" si="0"/>
        <v>410</v>
      </c>
      <c r="W21">
        <v>0</v>
      </c>
      <c r="X21" t="s">
        <v>104</v>
      </c>
      <c r="Y21" s="1" t="s">
        <v>31</v>
      </c>
    </row>
    <row r="22" spans="1:25">
      <c r="A22" t="s">
        <v>105</v>
      </c>
      <c r="B22" t="s">
        <v>106</v>
      </c>
      <c r="C22">
        <v>4146</v>
      </c>
      <c r="D22" t="s">
        <v>107</v>
      </c>
      <c r="E22" t="s">
        <v>28</v>
      </c>
      <c r="G22" s="1" t="s">
        <v>29</v>
      </c>
      <c r="H22" s="1">
        <v>66</v>
      </c>
      <c r="I22" s="1">
        <v>5</v>
      </c>
      <c r="J22">
        <v>1</v>
      </c>
      <c r="K22">
        <v>0</v>
      </c>
      <c r="L22" s="9">
        <v>1000</v>
      </c>
      <c r="M22">
        <v>0</v>
      </c>
      <c r="N22">
        <v>0</v>
      </c>
      <c r="O22" s="9">
        <v>6000</v>
      </c>
      <c r="P22">
        <v>0</v>
      </c>
      <c r="Q22">
        <v>0</v>
      </c>
      <c r="R22">
        <v>0</v>
      </c>
      <c r="S22">
        <v>0</v>
      </c>
      <c r="T22">
        <v>0</v>
      </c>
      <c r="U22">
        <v>7000</v>
      </c>
      <c r="V22" s="11">
        <f t="shared" si="0"/>
        <v>7000</v>
      </c>
      <c r="W22">
        <v>0</v>
      </c>
      <c r="X22" t="s">
        <v>108</v>
      </c>
      <c r="Y22" s="1" t="s">
        <v>31</v>
      </c>
    </row>
    <row r="23" spans="1:25">
      <c r="A23" t="s">
        <v>109</v>
      </c>
      <c r="B23" t="s">
        <v>110</v>
      </c>
      <c r="C23">
        <v>4530</v>
      </c>
      <c r="D23" t="s">
        <v>111</v>
      </c>
      <c r="E23" t="s">
        <v>50</v>
      </c>
      <c r="G23" s="1" t="s">
        <v>29</v>
      </c>
      <c r="H23" s="1">
        <v>29</v>
      </c>
      <c r="I23" s="1">
        <v>12</v>
      </c>
      <c r="J23">
        <v>1</v>
      </c>
      <c r="K23">
        <v>0</v>
      </c>
      <c r="L23">
        <v>5000</v>
      </c>
      <c r="M23">
        <v>6000</v>
      </c>
      <c r="N23">
        <v>7000</v>
      </c>
      <c r="O23" s="9">
        <v>52000</v>
      </c>
      <c r="P23">
        <v>0</v>
      </c>
      <c r="Q23">
        <v>0</v>
      </c>
      <c r="R23">
        <v>0</v>
      </c>
      <c r="S23">
        <v>0</v>
      </c>
      <c r="T23">
        <v>0</v>
      </c>
      <c r="U23">
        <v>70000</v>
      </c>
      <c r="V23" s="11">
        <f t="shared" si="0"/>
        <v>70000</v>
      </c>
      <c r="W23">
        <v>0</v>
      </c>
      <c r="X23" t="s">
        <v>42</v>
      </c>
      <c r="Y23" s="1" t="s">
        <v>31</v>
      </c>
    </row>
    <row r="24" spans="1:25">
      <c r="A24" t="s">
        <v>112</v>
      </c>
      <c r="B24" t="s">
        <v>113</v>
      </c>
      <c r="C24">
        <v>8536</v>
      </c>
      <c r="D24" t="s">
        <v>114</v>
      </c>
      <c r="E24" t="s">
        <v>115</v>
      </c>
      <c r="G24" s="1" t="s">
        <v>29</v>
      </c>
      <c r="H24" s="1">
        <v>64</v>
      </c>
      <c r="I24" s="1">
        <v>2</v>
      </c>
      <c r="J24">
        <v>1</v>
      </c>
      <c r="K24">
        <v>0</v>
      </c>
      <c r="L24" s="9">
        <v>35000</v>
      </c>
      <c r="M24">
        <v>0</v>
      </c>
      <c r="N24">
        <v>0</v>
      </c>
      <c r="O24" s="9">
        <v>90000</v>
      </c>
      <c r="P24">
        <v>0</v>
      </c>
      <c r="Q24">
        <v>0</v>
      </c>
      <c r="R24">
        <v>0</v>
      </c>
      <c r="S24">
        <v>0</v>
      </c>
      <c r="T24">
        <v>0</v>
      </c>
      <c r="U24">
        <v>125000</v>
      </c>
      <c r="V24" s="11">
        <f t="shared" si="0"/>
        <v>125000</v>
      </c>
      <c r="W24">
        <v>0</v>
      </c>
      <c r="X24" t="s">
        <v>46</v>
      </c>
      <c r="Y24" s="1" t="s">
        <v>116</v>
      </c>
    </row>
    <row r="25" spans="1:25">
      <c r="A25" t="s">
        <v>117</v>
      </c>
      <c r="B25" t="s">
        <v>118</v>
      </c>
      <c r="C25">
        <v>10183</v>
      </c>
      <c r="D25" t="s">
        <v>119</v>
      </c>
      <c r="E25" t="s">
        <v>71</v>
      </c>
      <c r="G25" s="1" t="s">
        <v>35</v>
      </c>
      <c r="H25" s="1">
        <v>82</v>
      </c>
      <c r="I25" s="1">
        <v>1</v>
      </c>
      <c r="J25">
        <v>1</v>
      </c>
      <c r="K25" s="9">
        <v>0</v>
      </c>
      <c r="L25" s="9">
        <v>1500</v>
      </c>
      <c r="M25">
        <v>5000</v>
      </c>
      <c r="N25">
        <v>1500</v>
      </c>
      <c r="O25" s="9">
        <v>22500</v>
      </c>
      <c r="P25">
        <v>0</v>
      </c>
      <c r="Q25">
        <v>2000</v>
      </c>
      <c r="R25">
        <v>2000</v>
      </c>
      <c r="S25">
        <v>0</v>
      </c>
      <c r="T25" s="9">
        <v>0</v>
      </c>
      <c r="U25">
        <v>34500</v>
      </c>
      <c r="V25" s="11">
        <f t="shared" si="0"/>
        <v>34500</v>
      </c>
      <c r="W25">
        <v>0</v>
      </c>
      <c r="X25" s="8" t="s">
        <v>120</v>
      </c>
      <c r="Y25" s="1" t="s">
        <v>116</v>
      </c>
    </row>
    <row r="26" spans="1:25">
      <c r="A26" t="s">
        <v>121</v>
      </c>
      <c r="B26" t="s">
        <v>122</v>
      </c>
      <c r="C26">
        <v>9751</v>
      </c>
      <c r="D26" t="s">
        <v>123</v>
      </c>
      <c r="E26" t="s">
        <v>100</v>
      </c>
      <c r="G26" s="1" t="s">
        <v>29</v>
      </c>
      <c r="H26" s="1">
        <v>68</v>
      </c>
      <c r="I26" s="1">
        <v>3</v>
      </c>
      <c r="J26">
        <v>1</v>
      </c>
      <c r="K26">
        <v>750</v>
      </c>
      <c r="L26">
        <v>1200</v>
      </c>
      <c r="M26" s="9">
        <v>7000</v>
      </c>
      <c r="N26">
        <v>8000</v>
      </c>
      <c r="O26" s="9">
        <v>75000</v>
      </c>
      <c r="P26">
        <v>0</v>
      </c>
      <c r="Q26">
        <v>22000</v>
      </c>
      <c r="R26">
        <v>8000</v>
      </c>
      <c r="S26" s="9">
        <v>13480</v>
      </c>
      <c r="T26" s="9">
        <v>0</v>
      </c>
      <c r="U26">
        <v>135430</v>
      </c>
      <c r="V26" s="11">
        <f t="shared" si="0"/>
        <v>135430</v>
      </c>
      <c r="W26">
        <v>0</v>
      </c>
      <c r="X26" t="s">
        <v>54</v>
      </c>
      <c r="Y26" s="1" t="s">
        <v>116</v>
      </c>
    </row>
    <row r="27" spans="1:25">
      <c r="A27" t="s">
        <v>124</v>
      </c>
      <c r="B27" t="s">
        <v>125</v>
      </c>
      <c r="C27">
        <v>4200</v>
      </c>
      <c r="D27" t="s">
        <v>126</v>
      </c>
      <c r="E27" t="s">
        <v>66</v>
      </c>
      <c r="G27" s="1" t="s">
        <v>29</v>
      </c>
      <c r="H27" s="1">
        <v>33</v>
      </c>
      <c r="I27" s="1">
        <v>4</v>
      </c>
      <c r="J27">
        <v>2</v>
      </c>
      <c r="L27" s="9">
        <v>2000</v>
      </c>
      <c r="M27">
        <v>2900</v>
      </c>
      <c r="O27" s="9">
        <v>10000</v>
      </c>
      <c r="U27">
        <v>14900</v>
      </c>
      <c r="V27" s="11">
        <f t="shared" si="0"/>
        <v>14900</v>
      </c>
      <c r="W27">
        <v>0</v>
      </c>
      <c r="X27" t="s">
        <v>54</v>
      </c>
      <c r="Y27" s="1" t="s">
        <v>116</v>
      </c>
    </row>
    <row r="28" spans="1:25">
      <c r="A28" t="s">
        <v>127</v>
      </c>
      <c r="B28" t="s">
        <v>128</v>
      </c>
      <c r="C28">
        <v>3414</v>
      </c>
      <c r="D28" t="s">
        <v>129</v>
      </c>
      <c r="E28" t="s">
        <v>71</v>
      </c>
      <c r="G28" s="1" t="s">
        <v>35</v>
      </c>
      <c r="H28" s="1">
        <v>64</v>
      </c>
      <c r="I28" s="1">
        <v>1</v>
      </c>
      <c r="J28">
        <v>1</v>
      </c>
      <c r="K28">
        <v>0</v>
      </c>
      <c r="L28" s="9">
        <v>8000</v>
      </c>
      <c r="M28" s="9">
        <v>5000</v>
      </c>
      <c r="N28" s="9">
        <v>7000</v>
      </c>
      <c r="O28">
        <v>75000</v>
      </c>
      <c r="P28">
        <v>0</v>
      </c>
      <c r="Q28">
        <v>0</v>
      </c>
      <c r="R28">
        <v>0</v>
      </c>
      <c r="S28">
        <v>0</v>
      </c>
      <c r="T28">
        <v>0</v>
      </c>
      <c r="U28">
        <v>95000</v>
      </c>
      <c r="V28" s="11">
        <f t="shared" si="0"/>
        <v>95000</v>
      </c>
      <c r="W28">
        <v>0</v>
      </c>
      <c r="X28" s="8" t="s">
        <v>120</v>
      </c>
      <c r="Y28" s="1" t="s">
        <v>116</v>
      </c>
    </row>
    <row r="29" spans="1:25">
      <c r="A29" t="s">
        <v>130</v>
      </c>
      <c r="B29" t="s">
        <v>131</v>
      </c>
      <c r="C29">
        <v>4162</v>
      </c>
      <c r="D29" t="s">
        <v>132</v>
      </c>
      <c r="E29" t="s">
        <v>66</v>
      </c>
      <c r="G29" s="1" t="s">
        <v>29</v>
      </c>
      <c r="H29" s="1">
        <v>60</v>
      </c>
      <c r="I29" s="1">
        <v>4</v>
      </c>
      <c r="J29">
        <v>1</v>
      </c>
      <c r="K29">
        <v>25000</v>
      </c>
      <c r="L29">
        <v>70000</v>
      </c>
      <c r="M29">
        <v>90000</v>
      </c>
      <c r="N29">
        <v>150000</v>
      </c>
      <c r="O29">
        <v>155000</v>
      </c>
      <c r="P29">
        <v>2500</v>
      </c>
      <c r="Q29">
        <v>2500</v>
      </c>
      <c r="R29">
        <v>5000</v>
      </c>
      <c r="S29">
        <v>5000</v>
      </c>
      <c r="T29">
        <v>0</v>
      </c>
      <c r="U29">
        <v>505000</v>
      </c>
      <c r="V29" s="11">
        <f t="shared" si="0"/>
        <v>505000</v>
      </c>
      <c r="W29">
        <v>0</v>
      </c>
      <c r="X29" t="s">
        <v>46</v>
      </c>
      <c r="Y29" s="1" t="s">
        <v>116</v>
      </c>
    </row>
    <row r="30" spans="1:25">
      <c r="A30" t="s">
        <v>133</v>
      </c>
      <c r="B30" t="s">
        <v>134</v>
      </c>
      <c r="C30">
        <v>4780</v>
      </c>
      <c r="D30" t="s">
        <v>135</v>
      </c>
      <c r="E30" t="s">
        <v>100</v>
      </c>
      <c r="G30" s="1" t="s">
        <v>29</v>
      </c>
      <c r="H30" s="1">
        <v>38</v>
      </c>
      <c r="I30" s="1">
        <v>4</v>
      </c>
      <c r="J30">
        <v>4</v>
      </c>
      <c r="K30">
        <v>0</v>
      </c>
      <c r="L30">
        <v>200</v>
      </c>
      <c r="M30">
        <v>3800</v>
      </c>
      <c r="N30">
        <v>0</v>
      </c>
      <c r="O30">
        <v>3000</v>
      </c>
      <c r="P30">
        <v>0</v>
      </c>
      <c r="Q30">
        <v>1000</v>
      </c>
      <c r="R30">
        <v>0</v>
      </c>
      <c r="S30">
        <v>0</v>
      </c>
      <c r="T30">
        <v>0</v>
      </c>
      <c r="U30">
        <v>8000</v>
      </c>
      <c r="V30" s="11">
        <f t="shared" si="0"/>
        <v>8000</v>
      </c>
      <c r="W30">
        <v>0</v>
      </c>
      <c r="X30" t="s">
        <v>54</v>
      </c>
      <c r="Y30" s="1" t="s">
        <v>116</v>
      </c>
    </row>
    <row r="31" spans="1:25">
      <c r="A31" t="s">
        <v>136</v>
      </c>
      <c r="B31" t="s">
        <v>137</v>
      </c>
      <c r="C31">
        <v>3859</v>
      </c>
      <c r="D31" t="s">
        <v>138</v>
      </c>
      <c r="E31" t="s">
        <v>66</v>
      </c>
      <c r="G31" s="1" t="s">
        <v>29</v>
      </c>
      <c r="H31" s="1">
        <v>38</v>
      </c>
      <c r="I31" s="1">
        <v>3</v>
      </c>
      <c r="J31">
        <v>1</v>
      </c>
      <c r="K31">
        <v>0</v>
      </c>
      <c r="L31">
        <v>300</v>
      </c>
      <c r="M31">
        <v>7200</v>
      </c>
      <c r="N31">
        <v>0</v>
      </c>
      <c r="O31">
        <v>42000</v>
      </c>
      <c r="P31">
        <v>0</v>
      </c>
      <c r="Q31">
        <v>1000</v>
      </c>
      <c r="R31">
        <v>0</v>
      </c>
      <c r="S31">
        <v>0</v>
      </c>
      <c r="T31">
        <v>0</v>
      </c>
      <c r="U31">
        <v>50500</v>
      </c>
      <c r="V31" s="11">
        <f t="shared" si="0"/>
        <v>50500</v>
      </c>
      <c r="W31">
        <v>0</v>
      </c>
      <c r="X31" t="s">
        <v>46</v>
      </c>
      <c r="Y31" s="1" t="s">
        <v>139</v>
      </c>
    </row>
    <row r="32" spans="1:25">
      <c r="A32" t="s">
        <v>140</v>
      </c>
      <c r="B32" t="s">
        <v>141</v>
      </c>
      <c r="C32">
        <v>8198</v>
      </c>
      <c r="D32" t="s">
        <v>142</v>
      </c>
      <c r="E32" t="s">
        <v>62</v>
      </c>
      <c r="G32" s="1" t="s">
        <v>35</v>
      </c>
      <c r="H32" s="1">
        <v>69</v>
      </c>
      <c r="I32" s="1">
        <v>6</v>
      </c>
      <c r="J32">
        <v>1</v>
      </c>
      <c r="K32">
        <v>0</v>
      </c>
      <c r="L32" s="9">
        <v>1000</v>
      </c>
      <c r="M32">
        <v>0</v>
      </c>
      <c r="N32">
        <v>0</v>
      </c>
      <c r="O32">
        <v>22000</v>
      </c>
      <c r="P32">
        <v>0</v>
      </c>
      <c r="Q32">
        <v>2500</v>
      </c>
      <c r="R32" s="9">
        <v>500</v>
      </c>
      <c r="S32">
        <v>2500</v>
      </c>
      <c r="T32">
        <v>0</v>
      </c>
      <c r="U32">
        <v>28500</v>
      </c>
      <c r="V32" s="11">
        <f t="shared" si="0"/>
        <v>28500</v>
      </c>
      <c r="W32">
        <v>0</v>
      </c>
      <c r="X32" s="8" t="s">
        <v>143</v>
      </c>
      <c r="Y32" s="1" t="s">
        <v>31</v>
      </c>
    </row>
    <row r="33" spans="1:25">
      <c r="A33" t="s">
        <v>144</v>
      </c>
      <c r="B33" t="s">
        <v>145</v>
      </c>
      <c r="C33">
        <v>8383</v>
      </c>
      <c r="D33" t="s">
        <v>146</v>
      </c>
      <c r="E33" t="s">
        <v>90</v>
      </c>
      <c r="G33" s="1" t="s">
        <v>29</v>
      </c>
      <c r="H33" s="1">
        <v>27</v>
      </c>
      <c r="I33" s="1">
        <v>12</v>
      </c>
      <c r="J33">
        <v>1</v>
      </c>
      <c r="K33">
        <v>1000</v>
      </c>
      <c r="L33">
        <v>35000</v>
      </c>
      <c r="M33">
        <v>25000</v>
      </c>
      <c r="N33">
        <v>27000</v>
      </c>
      <c r="O33">
        <v>35000</v>
      </c>
      <c r="P33">
        <v>0</v>
      </c>
      <c r="Q33">
        <v>7000</v>
      </c>
      <c r="R33">
        <v>7000</v>
      </c>
      <c r="S33">
        <v>0</v>
      </c>
      <c r="T33">
        <v>0</v>
      </c>
      <c r="U33">
        <v>137000</v>
      </c>
      <c r="V33" s="11">
        <f t="shared" si="0"/>
        <v>137000</v>
      </c>
      <c r="W33">
        <v>0</v>
      </c>
      <c r="X33" t="s">
        <v>46</v>
      </c>
      <c r="Y33" s="1" t="s">
        <v>31</v>
      </c>
    </row>
    <row r="34" spans="1:25">
      <c r="A34" t="s">
        <v>147</v>
      </c>
      <c r="B34" t="s">
        <v>148</v>
      </c>
      <c r="C34">
        <v>11025</v>
      </c>
      <c r="D34" t="s">
        <v>149</v>
      </c>
      <c r="E34" t="s">
        <v>150</v>
      </c>
      <c r="G34" s="1" t="s">
        <v>29</v>
      </c>
      <c r="H34" s="1">
        <v>60</v>
      </c>
      <c r="I34" s="1">
        <v>1</v>
      </c>
      <c r="J34">
        <v>4</v>
      </c>
      <c r="K34">
        <v>0</v>
      </c>
      <c r="L34" s="7">
        <v>5000</v>
      </c>
      <c r="M34" s="7">
        <v>5000</v>
      </c>
      <c r="N34" s="7">
        <v>5000</v>
      </c>
      <c r="O34" s="7">
        <v>55000</v>
      </c>
      <c r="P34">
        <v>0</v>
      </c>
      <c r="Q34">
        <v>5000</v>
      </c>
      <c r="R34">
        <v>1000</v>
      </c>
      <c r="S34">
        <v>10000</v>
      </c>
      <c r="T34">
        <v>0</v>
      </c>
      <c r="U34">
        <v>86000</v>
      </c>
      <c r="V34" s="11">
        <f t="shared" si="0"/>
        <v>86000</v>
      </c>
      <c r="W34">
        <v>0</v>
      </c>
      <c r="X34" t="s">
        <v>30</v>
      </c>
      <c r="Y34" s="1" t="s">
        <v>31</v>
      </c>
    </row>
    <row r="35" spans="1:25">
      <c r="A35" t="s">
        <v>151</v>
      </c>
      <c r="B35" t="s">
        <v>152</v>
      </c>
      <c r="C35">
        <v>11029</v>
      </c>
      <c r="D35" t="s">
        <v>153</v>
      </c>
      <c r="E35" t="s">
        <v>62</v>
      </c>
      <c r="G35" s="1" t="s">
        <v>35</v>
      </c>
      <c r="H35" s="1">
        <v>76</v>
      </c>
      <c r="I35" s="1">
        <v>10</v>
      </c>
      <c r="J35">
        <v>3</v>
      </c>
      <c r="K35">
        <v>0</v>
      </c>
      <c r="L35" s="9">
        <v>2500</v>
      </c>
      <c r="M35" s="9">
        <v>1000</v>
      </c>
      <c r="N35">
        <v>0</v>
      </c>
      <c r="O35">
        <v>75000</v>
      </c>
      <c r="P35">
        <v>0</v>
      </c>
      <c r="Q35">
        <v>3000</v>
      </c>
      <c r="R35">
        <v>1000</v>
      </c>
      <c r="S35" s="9">
        <v>2100</v>
      </c>
      <c r="T35">
        <v>0</v>
      </c>
      <c r="U35">
        <v>84600</v>
      </c>
      <c r="V35" s="11">
        <f t="shared" si="0"/>
        <v>84600</v>
      </c>
      <c r="W35">
        <v>0</v>
      </c>
      <c r="X35" t="s">
        <v>42</v>
      </c>
      <c r="Y35" s="1" t="s">
        <v>31</v>
      </c>
    </row>
    <row r="36" spans="1:25">
      <c r="A36" t="s">
        <v>154</v>
      </c>
      <c r="B36" t="s">
        <v>155</v>
      </c>
      <c r="C36">
        <v>10893</v>
      </c>
      <c r="D36" t="s">
        <v>156</v>
      </c>
      <c r="E36" t="s">
        <v>71</v>
      </c>
      <c r="G36" s="1" t="s">
        <v>35</v>
      </c>
      <c r="H36" s="1">
        <v>40</v>
      </c>
      <c r="I36" s="1">
        <v>3</v>
      </c>
      <c r="J36">
        <v>2</v>
      </c>
      <c r="K36">
        <v>0</v>
      </c>
      <c r="L36" s="9">
        <v>25000</v>
      </c>
      <c r="M36">
        <v>0</v>
      </c>
      <c r="N36">
        <v>0</v>
      </c>
      <c r="O36" s="9">
        <v>250000</v>
      </c>
      <c r="P36">
        <v>0</v>
      </c>
      <c r="Q36">
        <v>3500</v>
      </c>
      <c r="R36">
        <v>3000</v>
      </c>
      <c r="S36">
        <v>5000</v>
      </c>
      <c r="T36">
        <v>0</v>
      </c>
      <c r="U36">
        <v>286500</v>
      </c>
      <c r="V36" s="11">
        <f t="shared" si="0"/>
        <v>286500</v>
      </c>
      <c r="W36">
        <v>0</v>
      </c>
      <c r="X36" s="8" t="s">
        <v>143</v>
      </c>
      <c r="Y36" s="1" t="s">
        <v>31</v>
      </c>
    </row>
    <row r="37" spans="1:25">
      <c r="A37" t="s">
        <v>157</v>
      </c>
      <c r="B37" t="s">
        <v>158</v>
      </c>
      <c r="C37">
        <v>10139</v>
      </c>
      <c r="D37" t="s">
        <v>159</v>
      </c>
      <c r="E37" t="s">
        <v>115</v>
      </c>
      <c r="G37" s="1" t="s">
        <v>35</v>
      </c>
      <c r="H37" s="1">
        <v>37</v>
      </c>
      <c r="I37" s="1">
        <v>3</v>
      </c>
      <c r="J37">
        <v>1</v>
      </c>
      <c r="K37">
        <v>0</v>
      </c>
      <c r="L37">
        <v>5000</v>
      </c>
      <c r="M37">
        <v>7000</v>
      </c>
      <c r="N37">
        <v>5000</v>
      </c>
      <c r="O37">
        <v>9000</v>
      </c>
      <c r="P37">
        <v>0</v>
      </c>
      <c r="Q37">
        <v>3000</v>
      </c>
      <c r="R37">
        <v>2000</v>
      </c>
      <c r="S37">
        <v>0</v>
      </c>
      <c r="T37">
        <v>0</v>
      </c>
      <c r="U37">
        <v>31000</v>
      </c>
      <c r="V37" s="11">
        <f t="shared" si="0"/>
        <v>31000</v>
      </c>
      <c r="W37">
        <v>0</v>
      </c>
      <c r="X37" s="8" t="s">
        <v>120</v>
      </c>
      <c r="Y37" s="1" t="s">
        <v>31</v>
      </c>
    </row>
    <row r="38" spans="1:25">
      <c r="A38" t="s">
        <v>160</v>
      </c>
      <c r="B38" t="s">
        <v>161</v>
      </c>
      <c r="C38">
        <v>11616</v>
      </c>
      <c r="D38" t="s">
        <v>162</v>
      </c>
      <c r="E38" t="s">
        <v>163</v>
      </c>
      <c r="F38" t="s">
        <v>164</v>
      </c>
      <c r="G38" s="1" t="s">
        <v>35</v>
      </c>
      <c r="H38" s="1">
        <v>8</v>
      </c>
      <c r="I38" s="1">
        <v>6</v>
      </c>
      <c r="J38">
        <v>1</v>
      </c>
      <c r="K38">
        <v>0</v>
      </c>
      <c r="L38">
        <v>5000</v>
      </c>
      <c r="M38">
        <v>5000</v>
      </c>
      <c r="N38">
        <v>3000</v>
      </c>
      <c r="O38">
        <v>15000</v>
      </c>
      <c r="P38">
        <v>0</v>
      </c>
      <c r="Q38">
        <v>20000</v>
      </c>
      <c r="R38">
        <v>5000</v>
      </c>
      <c r="S38">
        <v>0</v>
      </c>
      <c r="T38">
        <v>0</v>
      </c>
      <c r="U38">
        <v>53000</v>
      </c>
      <c r="V38" s="11">
        <f t="shared" si="0"/>
        <v>53000</v>
      </c>
      <c r="W38">
        <v>0</v>
      </c>
      <c r="X38" t="s">
        <v>42</v>
      </c>
      <c r="Y38" s="1" t="s">
        <v>31</v>
      </c>
    </row>
    <row r="39" spans="1:25">
      <c r="A39" t="s">
        <v>165</v>
      </c>
      <c r="B39" t="s">
        <v>166</v>
      </c>
      <c r="C39">
        <v>11291</v>
      </c>
      <c r="D39" t="s">
        <v>167</v>
      </c>
      <c r="E39" t="s">
        <v>28</v>
      </c>
      <c r="G39" s="1" t="s">
        <v>35</v>
      </c>
      <c r="H39" s="1">
        <v>52</v>
      </c>
      <c r="I39" s="1">
        <v>10</v>
      </c>
      <c r="J39">
        <v>1</v>
      </c>
      <c r="K39">
        <v>0</v>
      </c>
      <c r="L39" s="7">
        <v>1000</v>
      </c>
      <c r="M39" s="7">
        <v>3000</v>
      </c>
      <c r="N39" s="7">
        <v>3000</v>
      </c>
      <c r="O39" s="7">
        <v>25000</v>
      </c>
      <c r="P39">
        <v>0</v>
      </c>
      <c r="Q39">
        <v>3000</v>
      </c>
      <c r="R39">
        <v>2000</v>
      </c>
      <c r="S39">
        <v>4000</v>
      </c>
      <c r="T39">
        <v>0</v>
      </c>
      <c r="U39">
        <v>41000</v>
      </c>
      <c r="V39" s="11">
        <f t="shared" si="0"/>
        <v>41000</v>
      </c>
      <c r="W39">
        <v>0</v>
      </c>
      <c r="X39" t="s">
        <v>104</v>
      </c>
      <c r="Y39" s="1" t="s">
        <v>31</v>
      </c>
    </row>
    <row r="40" spans="1:25">
      <c r="A40" t="s">
        <v>168</v>
      </c>
      <c r="B40" t="s">
        <v>169</v>
      </c>
      <c r="C40">
        <v>11482</v>
      </c>
      <c r="D40" t="s">
        <v>170</v>
      </c>
      <c r="E40" t="s">
        <v>163</v>
      </c>
      <c r="F40" t="s">
        <v>171</v>
      </c>
      <c r="G40" s="1" t="s">
        <v>35</v>
      </c>
      <c r="H40" s="1">
        <v>38</v>
      </c>
      <c r="I40" s="1">
        <v>8</v>
      </c>
      <c r="J40">
        <v>1</v>
      </c>
      <c r="L40" s="9">
        <v>5000</v>
      </c>
      <c r="M40" s="9">
        <v>3000</v>
      </c>
      <c r="N40" s="9">
        <v>8000</v>
      </c>
      <c r="O40" s="9">
        <v>110000</v>
      </c>
      <c r="P40" s="9"/>
      <c r="Q40" s="9">
        <v>10000</v>
      </c>
      <c r="R40" s="9"/>
      <c r="S40" s="9">
        <v>9000</v>
      </c>
      <c r="U40">
        <v>145000</v>
      </c>
      <c r="V40" s="11">
        <f t="shared" si="0"/>
        <v>145000</v>
      </c>
      <c r="W40">
        <v>0</v>
      </c>
      <c r="X40" t="s">
        <v>42</v>
      </c>
      <c r="Y40" s="1" t="s">
        <v>31</v>
      </c>
    </row>
    <row r="41" spans="1:25">
      <c r="A41" t="s">
        <v>172</v>
      </c>
      <c r="B41" t="s">
        <v>173</v>
      </c>
      <c r="C41">
        <v>12485</v>
      </c>
      <c r="D41" t="s">
        <v>174</v>
      </c>
      <c r="E41" t="s">
        <v>62</v>
      </c>
      <c r="G41" s="1" t="s">
        <v>29</v>
      </c>
      <c r="H41" s="1">
        <v>38</v>
      </c>
      <c r="I41" s="1">
        <v>4</v>
      </c>
      <c r="J41">
        <v>1</v>
      </c>
      <c r="L41" s="9">
        <v>2000</v>
      </c>
      <c r="M41" s="9">
        <v>8000</v>
      </c>
      <c r="N41" s="9">
        <v>6000</v>
      </c>
      <c r="O41" s="9">
        <v>160000</v>
      </c>
      <c r="P41" s="9"/>
      <c r="Q41" s="9">
        <v>8000</v>
      </c>
      <c r="R41" s="9">
        <v>12000</v>
      </c>
      <c r="S41" s="9">
        <v>4000</v>
      </c>
      <c r="T41" s="9">
        <v>0</v>
      </c>
      <c r="U41">
        <v>200000</v>
      </c>
      <c r="V41" s="11">
        <f t="shared" si="0"/>
        <v>200000</v>
      </c>
      <c r="W41">
        <v>0</v>
      </c>
      <c r="X41" t="s">
        <v>42</v>
      </c>
      <c r="Y41" s="1" t="s">
        <v>31</v>
      </c>
    </row>
    <row r="42" spans="1:25">
      <c r="A42" t="s">
        <v>175</v>
      </c>
      <c r="B42" t="s">
        <v>176</v>
      </c>
      <c r="C42">
        <v>13502</v>
      </c>
      <c r="D42" t="s">
        <v>177</v>
      </c>
      <c r="E42" t="s">
        <v>28</v>
      </c>
      <c r="G42" s="1" t="s">
        <v>35</v>
      </c>
      <c r="H42" s="1">
        <v>73</v>
      </c>
      <c r="I42" s="1">
        <v>5</v>
      </c>
      <c r="J42">
        <v>1</v>
      </c>
      <c r="L42" s="9">
        <v>1000</v>
      </c>
      <c r="M42" s="9">
        <v>5000</v>
      </c>
      <c r="N42" s="9">
        <v>8000</v>
      </c>
      <c r="O42" s="9">
        <v>15000</v>
      </c>
      <c r="P42" s="9"/>
      <c r="Q42" s="9">
        <v>8000</v>
      </c>
      <c r="T42">
        <v>0</v>
      </c>
      <c r="U42">
        <v>37000</v>
      </c>
      <c r="V42" s="11">
        <f t="shared" si="0"/>
        <v>37000</v>
      </c>
      <c r="W42">
        <v>0</v>
      </c>
      <c r="X42" t="s">
        <v>54</v>
      </c>
      <c r="Y42" s="1" t="s">
        <v>31</v>
      </c>
    </row>
    <row r="43" spans="1:25">
      <c r="A43" t="s">
        <v>178</v>
      </c>
      <c r="B43" t="s">
        <v>179</v>
      </c>
      <c r="C43">
        <v>13575</v>
      </c>
      <c r="D43" t="s">
        <v>180</v>
      </c>
      <c r="E43" t="s">
        <v>150</v>
      </c>
      <c r="G43" s="1" t="s">
        <v>29</v>
      </c>
      <c r="H43" s="1">
        <v>58</v>
      </c>
      <c r="I43" s="1">
        <v>3</v>
      </c>
      <c r="J43">
        <v>1</v>
      </c>
      <c r="K43" s="8">
        <v>0</v>
      </c>
      <c r="L43" s="8">
        <v>1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1</v>
      </c>
      <c r="V43" s="12">
        <f t="shared" si="0"/>
        <v>1</v>
      </c>
      <c r="W43">
        <v>0</v>
      </c>
      <c r="X43" t="s">
        <v>54</v>
      </c>
      <c r="Y43" s="1" t="s">
        <v>31</v>
      </c>
    </row>
    <row r="44" spans="1:25">
      <c r="A44" t="s">
        <v>181</v>
      </c>
      <c r="B44" t="s">
        <v>182</v>
      </c>
      <c r="C44">
        <v>11188</v>
      </c>
      <c r="D44" t="s">
        <v>183</v>
      </c>
      <c r="E44" t="s">
        <v>50</v>
      </c>
      <c r="G44" s="1" t="s">
        <v>29</v>
      </c>
      <c r="H44" s="1">
        <v>39</v>
      </c>
      <c r="I44" s="1">
        <v>6</v>
      </c>
      <c r="J44">
        <v>2</v>
      </c>
      <c r="K44">
        <v>0</v>
      </c>
      <c r="L44">
        <v>5000</v>
      </c>
      <c r="M44">
        <v>0</v>
      </c>
      <c r="N44">
        <v>0</v>
      </c>
      <c r="O44">
        <v>120000</v>
      </c>
      <c r="P44">
        <v>0</v>
      </c>
      <c r="Q44">
        <v>0</v>
      </c>
      <c r="R44">
        <v>0</v>
      </c>
      <c r="S44">
        <v>0</v>
      </c>
      <c r="T44">
        <v>0</v>
      </c>
      <c r="U44">
        <v>125000</v>
      </c>
      <c r="V44" s="11">
        <f t="shared" si="0"/>
        <v>125000</v>
      </c>
      <c r="W44">
        <v>0</v>
      </c>
      <c r="X44" t="s">
        <v>184</v>
      </c>
      <c r="Y44" s="1" t="s">
        <v>31</v>
      </c>
    </row>
    <row r="45" spans="1:25">
      <c r="A45" t="s">
        <v>185</v>
      </c>
      <c r="B45" t="s">
        <v>186</v>
      </c>
      <c r="C45">
        <v>2881</v>
      </c>
      <c r="D45" t="s">
        <v>187</v>
      </c>
      <c r="E45" t="s">
        <v>188</v>
      </c>
      <c r="G45" s="1" t="s">
        <v>29</v>
      </c>
      <c r="H45" s="1">
        <v>63</v>
      </c>
      <c r="I45" s="1">
        <v>8</v>
      </c>
      <c r="J45">
        <v>12</v>
      </c>
      <c r="K45">
        <v>0</v>
      </c>
      <c r="L45" s="9">
        <v>70000</v>
      </c>
      <c r="M45" s="9">
        <v>8000</v>
      </c>
      <c r="N45" s="9">
        <v>6000</v>
      </c>
      <c r="O45">
        <v>700000</v>
      </c>
      <c r="P45">
        <v>0</v>
      </c>
      <c r="Q45" s="9">
        <v>5000</v>
      </c>
      <c r="R45" s="9">
        <v>14000</v>
      </c>
      <c r="S45"/>
      <c r="T45" s="9">
        <v>0</v>
      </c>
      <c r="U45">
        <v>803000</v>
      </c>
      <c r="V45" s="11">
        <f t="shared" si="0"/>
        <v>803000</v>
      </c>
      <c r="W45">
        <v>0</v>
      </c>
      <c r="X45" t="s">
        <v>54</v>
      </c>
      <c r="Y45" s="1" t="s">
        <v>31</v>
      </c>
    </row>
    <row r="46" spans="1:25">
      <c r="A46" t="s">
        <v>189</v>
      </c>
      <c r="B46" t="s">
        <v>190</v>
      </c>
      <c r="C46">
        <v>4235</v>
      </c>
      <c r="D46" t="s">
        <v>191</v>
      </c>
      <c r="E46" t="s">
        <v>192</v>
      </c>
      <c r="G46" s="1" t="s">
        <v>35</v>
      </c>
      <c r="H46" s="1">
        <v>63</v>
      </c>
      <c r="I46" s="1">
        <v>60</v>
      </c>
      <c r="J46">
        <v>5</v>
      </c>
      <c r="K46" s="8">
        <v>60</v>
      </c>
      <c r="L46" s="9">
        <v>1000</v>
      </c>
      <c r="O46" s="9">
        <v>19000</v>
      </c>
      <c r="U46">
        <v>20060</v>
      </c>
      <c r="V46" s="11">
        <f t="shared" si="0"/>
        <v>20060</v>
      </c>
      <c r="W46">
        <v>0</v>
      </c>
      <c r="X46" t="s">
        <v>193</v>
      </c>
      <c r="Y46" s="1" t="s">
        <v>31</v>
      </c>
    </row>
    <row r="47" spans="1:25">
      <c r="A47" t="s">
        <v>194</v>
      </c>
      <c r="B47" t="s">
        <v>195</v>
      </c>
      <c r="C47">
        <v>4238</v>
      </c>
      <c r="D47" t="s">
        <v>196</v>
      </c>
      <c r="E47" t="s">
        <v>62</v>
      </c>
      <c r="G47" s="1" t="s">
        <v>29</v>
      </c>
      <c r="H47" s="1">
        <v>44</v>
      </c>
      <c r="I47" s="1">
        <v>12</v>
      </c>
      <c r="J47">
        <v>1</v>
      </c>
      <c r="K47">
        <v>0</v>
      </c>
      <c r="L47" s="9">
        <v>5000</v>
      </c>
      <c r="M47" s="9">
        <v>0</v>
      </c>
      <c r="N47" s="9">
        <v>0</v>
      </c>
      <c r="O47" s="9">
        <v>55000</v>
      </c>
      <c r="P47">
        <v>0</v>
      </c>
      <c r="Q47" s="9">
        <v>2000</v>
      </c>
      <c r="R47">
        <v>0</v>
      </c>
      <c r="S47">
        <v>0</v>
      </c>
      <c r="T47">
        <v>0</v>
      </c>
      <c r="U47">
        <v>70000</v>
      </c>
      <c r="V47" s="11">
        <f>(K47+L47+M47+N47+O47+P47+Q48+R47+S47+Q47)</f>
        <v>70000</v>
      </c>
      <c r="W47">
        <v>0</v>
      </c>
      <c r="X47" t="s">
        <v>197</v>
      </c>
      <c r="Y47" s="1" t="s">
        <v>31</v>
      </c>
    </row>
    <row r="48" spans="1:25">
      <c r="A48" t="s">
        <v>198</v>
      </c>
      <c r="B48" t="s">
        <v>199</v>
      </c>
      <c r="C48">
        <v>3912</v>
      </c>
      <c r="D48" t="s">
        <v>200</v>
      </c>
      <c r="E48" t="s">
        <v>150</v>
      </c>
      <c r="G48" s="1" t="s">
        <v>29</v>
      </c>
      <c r="H48" s="1">
        <v>50</v>
      </c>
      <c r="I48" s="1">
        <v>1</v>
      </c>
      <c r="J48" s="8">
        <v>0</v>
      </c>
      <c r="L48">
        <v>500</v>
      </c>
      <c r="O48">
        <v>20000</v>
      </c>
      <c r="Q48">
        <v>8000</v>
      </c>
      <c r="R48">
        <v>6000</v>
      </c>
      <c r="S48">
        <v>0</v>
      </c>
      <c r="T48">
        <v>0</v>
      </c>
      <c r="U48">
        <v>34500</v>
      </c>
      <c r="V48" s="11">
        <f t="shared" si="0"/>
        <v>34500</v>
      </c>
      <c r="W48">
        <v>0</v>
      </c>
      <c r="X48" t="s">
        <v>46</v>
      </c>
      <c r="Y48" s="1" t="s">
        <v>31</v>
      </c>
    </row>
    <row r="49" spans="1:25">
      <c r="A49" t="s">
        <v>201</v>
      </c>
      <c r="B49" t="s">
        <v>202</v>
      </c>
      <c r="C49">
        <v>6250</v>
      </c>
      <c r="D49" t="s">
        <v>203</v>
      </c>
      <c r="E49" t="s">
        <v>100</v>
      </c>
      <c r="G49" s="1" t="s">
        <v>29</v>
      </c>
      <c r="H49" s="1">
        <v>56</v>
      </c>
      <c r="I49" s="1">
        <v>4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1200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>
        <v>1200</v>
      </c>
      <c r="V49" s="11">
        <f t="shared" si="0"/>
        <v>1200</v>
      </c>
      <c r="W49">
        <v>0</v>
      </c>
      <c r="X49" t="s">
        <v>54</v>
      </c>
      <c r="Y49" s="1" t="s">
        <v>31</v>
      </c>
    </row>
    <row r="50" spans="1:25">
      <c r="A50" t="s">
        <v>204</v>
      </c>
      <c r="B50" t="s">
        <v>205</v>
      </c>
      <c r="C50">
        <v>5176</v>
      </c>
      <c r="D50" t="s">
        <v>206</v>
      </c>
      <c r="E50" t="s">
        <v>66</v>
      </c>
      <c r="G50" s="1" t="s">
        <v>29</v>
      </c>
      <c r="H50" s="1">
        <v>50</v>
      </c>
      <c r="I50" s="1">
        <v>6</v>
      </c>
      <c r="J50">
        <v>1</v>
      </c>
      <c r="L50">
        <v>3000</v>
      </c>
      <c r="M50">
        <v>5000</v>
      </c>
      <c r="N50">
        <v>2000</v>
      </c>
      <c r="O50">
        <v>40000</v>
      </c>
      <c r="U50">
        <v>50000</v>
      </c>
      <c r="V50" s="11">
        <f t="shared" si="0"/>
        <v>50000</v>
      </c>
      <c r="W50">
        <v>0</v>
      </c>
      <c r="X50" t="s">
        <v>193</v>
      </c>
      <c r="Y50" s="1" t="s">
        <v>31</v>
      </c>
    </row>
    <row r="51" spans="1:25">
      <c r="A51" t="s">
        <v>204</v>
      </c>
      <c r="B51" t="s">
        <v>207</v>
      </c>
      <c r="C51">
        <v>5176</v>
      </c>
      <c r="D51" t="s">
        <v>208</v>
      </c>
      <c r="E51" t="s">
        <v>66</v>
      </c>
      <c r="G51" s="1" t="s">
        <v>29</v>
      </c>
      <c r="H51" s="1">
        <v>73</v>
      </c>
      <c r="I51" s="1">
        <v>7</v>
      </c>
      <c r="J51">
        <v>1</v>
      </c>
      <c r="L51">
        <v>1000</v>
      </c>
      <c r="M51">
        <v>2000</v>
      </c>
      <c r="N51">
        <v>2000</v>
      </c>
      <c r="O51">
        <v>15000</v>
      </c>
      <c r="U51">
        <v>20000</v>
      </c>
      <c r="V51" s="11">
        <f t="shared" si="0"/>
        <v>20000</v>
      </c>
      <c r="W51">
        <v>0</v>
      </c>
      <c r="X51" t="s">
        <v>193</v>
      </c>
      <c r="Y51" s="1" t="s">
        <v>31</v>
      </c>
    </row>
    <row r="52" spans="1:25">
      <c r="A52" t="s">
        <v>209</v>
      </c>
      <c r="B52" t="s">
        <v>210</v>
      </c>
      <c r="C52">
        <v>4903</v>
      </c>
      <c r="D52" t="s">
        <v>211</v>
      </c>
      <c r="E52" t="s">
        <v>66</v>
      </c>
      <c r="G52" s="1" t="s">
        <v>35</v>
      </c>
      <c r="H52" s="1">
        <v>58</v>
      </c>
      <c r="I52" s="1">
        <v>6</v>
      </c>
      <c r="J52" s="8">
        <v>0</v>
      </c>
      <c r="L52">
        <v>500</v>
      </c>
      <c r="M52">
        <v>1500</v>
      </c>
      <c r="N52">
        <v>3000</v>
      </c>
      <c r="O52">
        <v>20000</v>
      </c>
      <c r="U52">
        <v>25000</v>
      </c>
      <c r="V52" s="11">
        <f t="shared" si="0"/>
        <v>25000</v>
      </c>
      <c r="W52">
        <v>0</v>
      </c>
      <c r="X52" t="s">
        <v>54</v>
      </c>
      <c r="Y52" s="1" t="s">
        <v>31</v>
      </c>
    </row>
    <row r="53" spans="1:25">
      <c r="A53" t="s">
        <v>209</v>
      </c>
      <c r="B53" t="s">
        <v>212</v>
      </c>
      <c r="C53">
        <v>4903</v>
      </c>
      <c r="D53" t="s">
        <v>213</v>
      </c>
      <c r="E53" t="s">
        <v>28</v>
      </c>
      <c r="G53" s="1" t="s">
        <v>29</v>
      </c>
      <c r="H53" s="1">
        <v>58</v>
      </c>
      <c r="I53" s="1">
        <v>2</v>
      </c>
      <c r="J53">
        <v>8</v>
      </c>
      <c r="L53">
        <v>500</v>
      </c>
      <c r="M53">
        <v>2500</v>
      </c>
      <c r="N53">
        <v>0</v>
      </c>
      <c r="O53">
        <v>7000</v>
      </c>
      <c r="U53">
        <v>10000</v>
      </c>
      <c r="V53" s="11">
        <f t="shared" si="0"/>
        <v>10000</v>
      </c>
      <c r="W53">
        <v>0</v>
      </c>
      <c r="X53" t="s">
        <v>54</v>
      </c>
      <c r="Y53" s="1" t="s">
        <v>31</v>
      </c>
    </row>
    <row r="54" spans="1:25">
      <c r="A54" t="s">
        <v>214</v>
      </c>
      <c r="B54" t="s">
        <v>215</v>
      </c>
      <c r="C54">
        <v>5115</v>
      </c>
      <c r="D54" t="s">
        <v>216</v>
      </c>
      <c r="E54" t="s">
        <v>28</v>
      </c>
      <c r="G54" s="1" t="s">
        <v>35</v>
      </c>
      <c r="H54" s="1">
        <v>68</v>
      </c>
      <c r="I54" s="1">
        <v>5</v>
      </c>
      <c r="J54">
        <v>1</v>
      </c>
      <c r="K54">
        <v>0</v>
      </c>
      <c r="L54">
        <v>2000</v>
      </c>
      <c r="M54">
        <v>5000</v>
      </c>
      <c r="N54">
        <v>10000</v>
      </c>
      <c r="O54" s="9">
        <v>55000</v>
      </c>
      <c r="Q54">
        <v>15000</v>
      </c>
      <c r="R54">
        <v>8000</v>
      </c>
      <c r="S54">
        <v>5000</v>
      </c>
      <c r="T54" s="9">
        <v>0</v>
      </c>
      <c r="U54">
        <v>100000</v>
      </c>
      <c r="V54" s="11">
        <f t="shared" si="0"/>
        <v>100000</v>
      </c>
      <c r="W54">
        <v>0</v>
      </c>
      <c r="X54" s="8" t="s">
        <v>120</v>
      </c>
      <c r="Y54" s="1" t="s">
        <v>31</v>
      </c>
    </row>
    <row r="55" spans="1:25">
      <c r="A55" t="s">
        <v>217</v>
      </c>
      <c r="B55" t="s">
        <v>218</v>
      </c>
      <c r="C55">
        <v>5116</v>
      </c>
      <c r="D55" t="s">
        <v>219</v>
      </c>
      <c r="E55" t="s">
        <v>150</v>
      </c>
      <c r="G55" s="1" t="s">
        <v>29</v>
      </c>
      <c r="H55" s="1">
        <v>78</v>
      </c>
      <c r="I55" s="1">
        <v>5</v>
      </c>
      <c r="J55">
        <v>2</v>
      </c>
      <c r="K55" s="9">
        <v>0</v>
      </c>
      <c r="L55" s="9">
        <v>2000</v>
      </c>
      <c r="M55">
        <v>0</v>
      </c>
      <c r="N55">
        <v>0</v>
      </c>
      <c r="O55">
        <v>15000</v>
      </c>
      <c r="P55">
        <v>0</v>
      </c>
      <c r="Q55" s="9">
        <v>1000</v>
      </c>
      <c r="R55">
        <v>0</v>
      </c>
      <c r="S55">
        <v>0</v>
      </c>
      <c r="T55">
        <v>0</v>
      </c>
      <c r="U55">
        <v>18000</v>
      </c>
      <c r="V55" s="11">
        <f t="shared" si="0"/>
        <v>18000</v>
      </c>
      <c r="W55">
        <v>0</v>
      </c>
      <c r="X55" t="s">
        <v>42</v>
      </c>
      <c r="Y55" s="1" t="s">
        <v>31</v>
      </c>
    </row>
    <row r="56" spans="1:25">
      <c r="A56" t="s">
        <v>220</v>
      </c>
      <c r="B56" t="s">
        <v>221</v>
      </c>
      <c r="C56">
        <v>8673</v>
      </c>
      <c r="D56" t="s">
        <v>222</v>
      </c>
      <c r="E56" t="s">
        <v>40</v>
      </c>
      <c r="G56" s="1" t="s">
        <v>29</v>
      </c>
      <c r="H56" s="1">
        <v>48</v>
      </c>
      <c r="I56" s="1">
        <v>4</v>
      </c>
      <c r="J56">
        <v>2</v>
      </c>
      <c r="K56">
        <v>0</v>
      </c>
      <c r="L56" s="9">
        <v>3000</v>
      </c>
      <c r="M56" s="9">
        <v>5000</v>
      </c>
      <c r="N56" s="9">
        <v>8000</v>
      </c>
      <c r="O56" s="9">
        <v>22000</v>
      </c>
      <c r="P56">
        <v>0</v>
      </c>
      <c r="Q56">
        <v>0</v>
      </c>
      <c r="R56">
        <v>0</v>
      </c>
      <c r="S56">
        <v>0</v>
      </c>
      <c r="T56">
        <v>0</v>
      </c>
      <c r="U56">
        <v>38000</v>
      </c>
      <c r="V56" s="11">
        <f t="shared" si="0"/>
        <v>38000</v>
      </c>
      <c r="W56">
        <v>0</v>
      </c>
      <c r="X56" s="8" t="s">
        <v>223</v>
      </c>
      <c r="Y56" s="1" t="s">
        <v>116</v>
      </c>
    </row>
    <row r="57" spans="1:25">
      <c r="A57" t="s">
        <v>224</v>
      </c>
      <c r="B57" t="s">
        <v>225</v>
      </c>
      <c r="C57">
        <v>10773</v>
      </c>
      <c r="D57" t="s">
        <v>226</v>
      </c>
      <c r="E57" t="s">
        <v>58</v>
      </c>
      <c r="G57" s="1" t="s">
        <v>35</v>
      </c>
      <c r="H57" s="1">
        <v>38</v>
      </c>
      <c r="I57" s="1">
        <v>1</v>
      </c>
      <c r="J57">
        <v>1</v>
      </c>
      <c r="K57">
        <v>0</v>
      </c>
      <c r="L57" s="9">
        <v>10000</v>
      </c>
      <c r="M57" s="9">
        <v>7000</v>
      </c>
      <c r="N57" s="9">
        <v>8000</v>
      </c>
      <c r="O57">
        <v>50000</v>
      </c>
      <c r="P57">
        <v>0</v>
      </c>
      <c r="Q57">
        <v>0</v>
      </c>
      <c r="R57">
        <v>0</v>
      </c>
      <c r="S57">
        <v>0</v>
      </c>
      <c r="T57" s="9">
        <v>0</v>
      </c>
      <c r="U57">
        <v>75000</v>
      </c>
      <c r="V57" s="11">
        <f t="shared" si="0"/>
        <v>75000</v>
      </c>
      <c r="W57">
        <v>0</v>
      </c>
      <c r="X57" t="s">
        <v>227</v>
      </c>
      <c r="Y57" s="1" t="s">
        <v>116</v>
      </c>
    </row>
    <row r="58" spans="1:25">
      <c r="A58" t="s">
        <v>228</v>
      </c>
      <c r="B58" t="s">
        <v>229</v>
      </c>
      <c r="C58">
        <v>10624</v>
      </c>
      <c r="D58" t="s">
        <v>230</v>
      </c>
      <c r="E58" t="s">
        <v>150</v>
      </c>
      <c r="G58" s="1" t="s">
        <v>29</v>
      </c>
      <c r="H58" s="1">
        <v>73</v>
      </c>
      <c r="I58" s="1">
        <v>2</v>
      </c>
      <c r="J58">
        <v>1</v>
      </c>
      <c r="K58">
        <v>3500</v>
      </c>
      <c r="L58">
        <v>8000</v>
      </c>
      <c r="M58">
        <v>5000</v>
      </c>
      <c r="N58">
        <v>8000</v>
      </c>
      <c r="O58">
        <v>52000</v>
      </c>
      <c r="P58">
        <v>0</v>
      </c>
      <c r="Q58">
        <v>5100</v>
      </c>
      <c r="R58">
        <v>5000</v>
      </c>
      <c r="S58">
        <v>0</v>
      </c>
      <c r="T58">
        <v>0</v>
      </c>
      <c r="U58">
        <v>86600</v>
      </c>
      <c r="V58" s="11">
        <f t="shared" si="0"/>
        <v>86600</v>
      </c>
      <c r="W58">
        <v>0</v>
      </c>
      <c r="X58" t="s">
        <v>42</v>
      </c>
      <c r="Y58" s="1" t="s">
        <v>116</v>
      </c>
    </row>
    <row r="59" spans="1:25">
      <c r="A59" t="s">
        <v>231</v>
      </c>
      <c r="B59" t="s">
        <v>232</v>
      </c>
      <c r="C59">
        <v>11579</v>
      </c>
      <c r="D59" t="s">
        <v>233</v>
      </c>
      <c r="E59" t="s">
        <v>100</v>
      </c>
      <c r="G59" s="1" t="s">
        <v>29</v>
      </c>
      <c r="H59" s="1">
        <v>49</v>
      </c>
      <c r="I59" s="1">
        <v>6</v>
      </c>
      <c r="J59">
        <v>1</v>
      </c>
      <c r="L59" s="9">
        <v>5000</v>
      </c>
      <c r="M59" s="9">
        <v>5000</v>
      </c>
      <c r="N59">
        <v>2500</v>
      </c>
      <c r="O59">
        <v>7000</v>
      </c>
      <c r="T59">
        <v>0</v>
      </c>
      <c r="U59">
        <v>19500</v>
      </c>
      <c r="V59" s="11">
        <f t="shared" si="0"/>
        <v>19500</v>
      </c>
      <c r="W59">
        <v>0</v>
      </c>
      <c r="X59" t="s">
        <v>54</v>
      </c>
      <c r="Y59" s="1" t="s">
        <v>116</v>
      </c>
    </row>
    <row r="60" spans="1:25">
      <c r="A60" t="s">
        <v>234</v>
      </c>
      <c r="B60" t="s">
        <v>235</v>
      </c>
      <c r="C60">
        <v>11629</v>
      </c>
      <c r="D60" t="s">
        <v>236</v>
      </c>
      <c r="E60" t="s">
        <v>163</v>
      </c>
      <c r="F60" t="s">
        <v>237</v>
      </c>
      <c r="G60" s="1" t="s">
        <v>35</v>
      </c>
      <c r="H60" s="1">
        <v>35</v>
      </c>
      <c r="I60" s="1">
        <v>9</v>
      </c>
      <c r="J60">
        <v>3</v>
      </c>
      <c r="K60">
        <v>0</v>
      </c>
      <c r="L60" s="9">
        <v>4000</v>
      </c>
      <c r="M60" s="9">
        <v>2500</v>
      </c>
      <c r="N60" s="9">
        <v>2000</v>
      </c>
      <c r="O60">
        <v>12000</v>
      </c>
      <c r="P60">
        <v>0</v>
      </c>
      <c r="Q60" s="9">
        <v>0</v>
      </c>
      <c r="R60" s="9">
        <v>0</v>
      </c>
      <c r="S60">
        <v>0</v>
      </c>
      <c r="U60">
        <v>20500</v>
      </c>
      <c r="V60" s="11">
        <f t="shared" si="0"/>
        <v>20500</v>
      </c>
      <c r="W60">
        <v>0</v>
      </c>
      <c r="X60" t="s">
        <v>42</v>
      </c>
      <c r="Y60" s="1" t="s">
        <v>116</v>
      </c>
    </row>
    <row r="61" spans="1:25">
      <c r="A61" t="s">
        <v>238</v>
      </c>
      <c r="B61" t="s">
        <v>239</v>
      </c>
      <c r="C61">
        <v>11731</v>
      </c>
      <c r="D61" t="s">
        <v>240</v>
      </c>
      <c r="E61" t="s">
        <v>40</v>
      </c>
      <c r="G61" s="1" t="s">
        <v>35</v>
      </c>
      <c r="H61" s="1">
        <v>55</v>
      </c>
      <c r="I61" s="1">
        <v>2</v>
      </c>
      <c r="J61">
        <v>1</v>
      </c>
      <c r="L61" s="9">
        <v>10000</v>
      </c>
      <c r="M61" s="9">
        <v>7000</v>
      </c>
      <c r="N61" s="9">
        <v>8000</v>
      </c>
      <c r="O61" s="9">
        <v>100000</v>
      </c>
      <c r="U61">
        <v>125000</v>
      </c>
      <c r="V61" s="11">
        <f t="shared" si="0"/>
        <v>125000</v>
      </c>
      <c r="W61">
        <v>0</v>
      </c>
      <c r="X61" t="s">
        <v>197</v>
      </c>
      <c r="Y61" s="1" t="s">
        <v>116</v>
      </c>
    </row>
    <row r="62" spans="1:25">
      <c r="A62" t="s">
        <v>241</v>
      </c>
      <c r="B62" t="s">
        <v>242</v>
      </c>
      <c r="C62">
        <v>3494</v>
      </c>
      <c r="D62" t="s">
        <v>243</v>
      </c>
      <c r="E62" t="s">
        <v>71</v>
      </c>
      <c r="G62" s="1" t="s">
        <v>35</v>
      </c>
      <c r="H62" s="1">
        <v>68</v>
      </c>
      <c r="I62" s="1">
        <v>12</v>
      </c>
      <c r="J62">
        <v>1</v>
      </c>
      <c r="K62">
        <v>1500</v>
      </c>
      <c r="L62">
        <v>50000</v>
      </c>
      <c r="M62">
        <v>20000</v>
      </c>
      <c r="N62">
        <v>5000</v>
      </c>
      <c r="O62">
        <v>20000</v>
      </c>
      <c r="P62">
        <v>1500</v>
      </c>
      <c r="Q62">
        <v>1000</v>
      </c>
      <c r="R62">
        <v>3000</v>
      </c>
      <c r="S62" s="9">
        <v>5000</v>
      </c>
      <c r="T62"/>
      <c r="U62">
        <v>107000</v>
      </c>
      <c r="V62" s="11">
        <f t="shared" si="0"/>
        <v>107000</v>
      </c>
      <c r="W62">
        <v>0</v>
      </c>
      <c r="X62" s="8" t="s">
        <v>120</v>
      </c>
      <c r="Y62" s="1" t="s">
        <v>116</v>
      </c>
    </row>
    <row r="63" spans="1:25">
      <c r="A63" t="s">
        <v>244</v>
      </c>
      <c r="B63" t="s">
        <v>245</v>
      </c>
      <c r="C63">
        <v>11160</v>
      </c>
      <c r="D63" t="s">
        <v>246</v>
      </c>
      <c r="E63" t="s">
        <v>40</v>
      </c>
      <c r="G63" s="1" t="s">
        <v>29</v>
      </c>
      <c r="H63" s="1">
        <v>54</v>
      </c>
      <c r="I63" s="1">
        <v>12</v>
      </c>
      <c r="J63">
        <v>1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11">
        <f t="shared" si="0"/>
        <v>0</v>
      </c>
      <c r="W63">
        <v>0</v>
      </c>
      <c r="X63" t="s">
        <v>197</v>
      </c>
      <c r="Y63" s="1" t="s">
        <v>116</v>
      </c>
    </row>
    <row r="64" spans="1:25">
      <c r="A64" t="s">
        <v>247</v>
      </c>
      <c r="B64" t="s">
        <v>248</v>
      </c>
      <c r="C64">
        <v>5892</v>
      </c>
      <c r="D64" t="s">
        <v>249</v>
      </c>
      <c r="E64" t="s">
        <v>40</v>
      </c>
      <c r="G64" s="1" t="s">
        <v>29</v>
      </c>
      <c r="H64" s="1">
        <v>65</v>
      </c>
      <c r="I64" s="1">
        <v>2</v>
      </c>
      <c r="J64">
        <v>1</v>
      </c>
      <c r="K64">
        <v>700</v>
      </c>
      <c r="L64" s="9">
        <v>1000</v>
      </c>
      <c r="M64" s="9">
        <v>2300</v>
      </c>
      <c r="N64">
        <v>10000</v>
      </c>
      <c r="O64">
        <v>15000</v>
      </c>
      <c r="P64">
        <v>2000</v>
      </c>
      <c r="Q64">
        <v>5000</v>
      </c>
      <c r="R64" s="9">
        <v>2000</v>
      </c>
      <c r="S64">
        <v>2000</v>
      </c>
      <c r="T64">
        <v>0</v>
      </c>
      <c r="U64">
        <v>40000</v>
      </c>
      <c r="V64" s="11">
        <f t="shared" si="0"/>
        <v>40000</v>
      </c>
      <c r="W64">
        <v>0</v>
      </c>
      <c r="X64" t="s">
        <v>46</v>
      </c>
      <c r="Y64" s="1" t="s">
        <v>116</v>
      </c>
    </row>
    <row r="65" spans="1:25">
      <c r="A65" t="s">
        <v>250</v>
      </c>
      <c r="B65" t="s">
        <v>251</v>
      </c>
      <c r="C65">
        <v>5894</v>
      </c>
      <c r="D65" t="s">
        <v>252</v>
      </c>
      <c r="E65" t="s">
        <v>66</v>
      </c>
      <c r="G65" s="1" t="s">
        <v>35</v>
      </c>
      <c r="H65" s="1">
        <v>45</v>
      </c>
      <c r="I65" s="1">
        <v>2</v>
      </c>
      <c r="J65">
        <v>1</v>
      </c>
      <c r="L65" s="9">
        <v>2000</v>
      </c>
      <c r="M65">
        <v>8000</v>
      </c>
      <c r="N65">
        <v>25000</v>
      </c>
      <c r="O65">
        <v>30000</v>
      </c>
      <c r="P65">
        <v>5000</v>
      </c>
      <c r="Q65">
        <v>8000</v>
      </c>
      <c r="R65">
        <v>7000</v>
      </c>
      <c r="S65">
        <v>5000</v>
      </c>
      <c r="T65" s="9">
        <v>0</v>
      </c>
      <c r="U65">
        <v>90000</v>
      </c>
      <c r="V65" s="11">
        <f t="shared" si="0"/>
        <v>90000</v>
      </c>
      <c r="W65">
        <v>0</v>
      </c>
      <c r="X65" t="s">
        <v>193</v>
      </c>
      <c r="Y65" s="1" t="s">
        <v>116</v>
      </c>
    </row>
    <row r="66" spans="1:25">
      <c r="A66" t="s">
        <v>253</v>
      </c>
      <c r="B66" t="s">
        <v>254</v>
      </c>
      <c r="C66">
        <v>5977</v>
      </c>
      <c r="D66" t="s">
        <v>255</v>
      </c>
      <c r="E66" t="s">
        <v>62</v>
      </c>
      <c r="G66" s="1" t="s">
        <v>35</v>
      </c>
      <c r="H66" s="1">
        <v>59</v>
      </c>
      <c r="I66" s="1">
        <v>6</v>
      </c>
      <c r="J66">
        <v>1</v>
      </c>
      <c r="K66">
        <v>300</v>
      </c>
      <c r="L66" s="9">
        <v>1000</v>
      </c>
      <c r="M66" s="9">
        <v>4000</v>
      </c>
      <c r="N66">
        <v>4700</v>
      </c>
      <c r="O66">
        <v>20000</v>
      </c>
      <c r="P66">
        <v>5000</v>
      </c>
      <c r="Q66">
        <v>0</v>
      </c>
      <c r="U66">
        <v>35000</v>
      </c>
      <c r="V66" s="11">
        <f t="shared" si="0"/>
        <v>35000</v>
      </c>
      <c r="W66">
        <v>0</v>
      </c>
      <c r="X66" t="s">
        <v>197</v>
      </c>
      <c r="Y66" s="1" t="s">
        <v>116</v>
      </c>
    </row>
    <row r="67" spans="1:25">
      <c r="A67" t="s">
        <v>256</v>
      </c>
      <c r="B67" t="s">
        <v>257</v>
      </c>
      <c r="C67">
        <v>5272</v>
      </c>
      <c r="D67" t="s">
        <v>258</v>
      </c>
      <c r="E67" t="s">
        <v>259</v>
      </c>
      <c r="G67" s="1" t="s">
        <v>29</v>
      </c>
      <c r="H67" s="1">
        <v>23</v>
      </c>
      <c r="I67" s="1">
        <v>3</v>
      </c>
      <c r="J67">
        <v>1</v>
      </c>
      <c r="L67" s="9">
        <v>5000</v>
      </c>
      <c r="M67" s="9">
        <v>4000</v>
      </c>
      <c r="N67" s="9">
        <v>6000</v>
      </c>
      <c r="O67" s="9">
        <v>80000</v>
      </c>
      <c r="P67" s="9"/>
      <c r="Q67" s="9">
        <v>5000</v>
      </c>
      <c r="T67" s="9">
        <v>0</v>
      </c>
      <c r="U67">
        <v>100000</v>
      </c>
      <c r="V67" s="11">
        <f t="shared" ref="V67:V130" si="1">(K67+L67+M67+N67+O67+P67+Q67+R67+S67+T67)</f>
        <v>100000</v>
      </c>
      <c r="W67">
        <v>0</v>
      </c>
      <c r="X67" t="s">
        <v>197</v>
      </c>
      <c r="Y67" s="1" t="s">
        <v>116</v>
      </c>
    </row>
    <row r="68" spans="1:25">
      <c r="A68" t="s">
        <v>260</v>
      </c>
      <c r="B68" t="s">
        <v>261</v>
      </c>
      <c r="C68">
        <v>11648</v>
      </c>
      <c r="D68" t="s">
        <v>262</v>
      </c>
      <c r="E68" t="s">
        <v>150</v>
      </c>
      <c r="G68" s="1" t="s">
        <v>29</v>
      </c>
      <c r="H68" s="1">
        <v>72</v>
      </c>
      <c r="I68" s="1">
        <v>3</v>
      </c>
      <c r="J68">
        <v>2</v>
      </c>
      <c r="K68">
        <v>1600</v>
      </c>
      <c r="L68" s="9">
        <v>4000</v>
      </c>
      <c r="M68" s="9">
        <v>6000</v>
      </c>
      <c r="N68" s="9">
        <v>10000</v>
      </c>
      <c r="O68" s="9">
        <v>40000</v>
      </c>
      <c r="P68">
        <v>0</v>
      </c>
      <c r="Q68">
        <v>160</v>
      </c>
      <c r="R68">
        <v>0</v>
      </c>
      <c r="S68">
        <v>0</v>
      </c>
      <c r="T68">
        <v>0</v>
      </c>
      <c r="U68">
        <v>61760</v>
      </c>
      <c r="V68" s="11">
        <f t="shared" si="1"/>
        <v>61760</v>
      </c>
      <c r="W68">
        <v>0</v>
      </c>
      <c r="X68" t="s">
        <v>46</v>
      </c>
      <c r="Y68" s="1" t="s">
        <v>263</v>
      </c>
    </row>
    <row r="69" spans="1:25">
      <c r="A69" t="s">
        <v>264</v>
      </c>
      <c r="B69" t="s">
        <v>265</v>
      </c>
      <c r="C69">
        <v>12142</v>
      </c>
      <c r="D69" t="s">
        <v>266</v>
      </c>
      <c r="E69" t="s">
        <v>28</v>
      </c>
      <c r="G69" s="1" t="s">
        <v>29</v>
      </c>
      <c r="H69" s="1">
        <v>47</v>
      </c>
      <c r="I69" s="1">
        <v>12</v>
      </c>
      <c r="J69">
        <v>1</v>
      </c>
      <c r="K69">
        <v>0</v>
      </c>
      <c r="L69" s="9">
        <v>1000</v>
      </c>
      <c r="M69" s="9">
        <v>6000</v>
      </c>
      <c r="N69">
        <v>0</v>
      </c>
      <c r="O69">
        <v>3000</v>
      </c>
      <c r="P69">
        <v>0</v>
      </c>
      <c r="Q69">
        <v>0</v>
      </c>
      <c r="R69">
        <v>0</v>
      </c>
      <c r="S69">
        <v>0</v>
      </c>
      <c r="T69">
        <v>0</v>
      </c>
      <c r="U69">
        <v>10000</v>
      </c>
      <c r="V69" s="11">
        <f t="shared" si="1"/>
        <v>10000</v>
      </c>
      <c r="W69">
        <v>0</v>
      </c>
      <c r="X69" t="s">
        <v>46</v>
      </c>
      <c r="Y69" s="1" t="s">
        <v>263</v>
      </c>
    </row>
    <row r="70" spans="1:25">
      <c r="A70" t="s">
        <v>267</v>
      </c>
      <c r="B70" t="s">
        <v>268</v>
      </c>
      <c r="C70">
        <v>1021</v>
      </c>
      <c r="D70" t="s">
        <v>269</v>
      </c>
      <c r="E70" t="s">
        <v>150</v>
      </c>
      <c r="G70" s="1" t="s">
        <v>29</v>
      </c>
      <c r="H70" s="1">
        <v>54</v>
      </c>
      <c r="I70" s="1">
        <v>6</v>
      </c>
      <c r="J70">
        <v>2</v>
      </c>
      <c r="K70">
        <v>0</v>
      </c>
      <c r="L70">
        <v>1000</v>
      </c>
      <c r="M70">
        <v>2400</v>
      </c>
      <c r="N70" s="9">
        <v>3300</v>
      </c>
      <c r="O70" s="9">
        <v>15000</v>
      </c>
      <c r="P70">
        <v>2360</v>
      </c>
      <c r="Q70">
        <v>900</v>
      </c>
      <c r="R70" s="9">
        <v>860</v>
      </c>
      <c r="S70">
        <v>0</v>
      </c>
      <c r="T70">
        <v>0</v>
      </c>
      <c r="U70">
        <v>25820</v>
      </c>
      <c r="V70" s="11">
        <f t="shared" si="1"/>
        <v>25820</v>
      </c>
      <c r="W70">
        <v>0</v>
      </c>
      <c r="X70" t="s">
        <v>270</v>
      </c>
      <c r="Y70" s="1" t="s">
        <v>31</v>
      </c>
    </row>
    <row r="71" spans="1:25">
      <c r="A71" t="s">
        <v>271</v>
      </c>
      <c r="B71" t="s">
        <v>272</v>
      </c>
      <c r="C71">
        <v>2411</v>
      </c>
      <c r="D71" t="s">
        <v>273</v>
      </c>
      <c r="E71" t="s">
        <v>66</v>
      </c>
      <c r="G71" s="1" t="s">
        <v>29</v>
      </c>
      <c r="H71" s="1">
        <v>42</v>
      </c>
      <c r="I71" s="1">
        <v>2</v>
      </c>
      <c r="J71">
        <v>1</v>
      </c>
      <c r="K71">
        <v>0</v>
      </c>
      <c r="L71" s="9">
        <v>200</v>
      </c>
      <c r="M71">
        <v>180</v>
      </c>
      <c r="N71" s="9">
        <v>475</v>
      </c>
      <c r="O71">
        <v>780</v>
      </c>
      <c r="P71">
        <v>0</v>
      </c>
      <c r="Q71">
        <v>0</v>
      </c>
      <c r="R71">
        <v>0</v>
      </c>
      <c r="S71">
        <v>0</v>
      </c>
      <c r="T71">
        <v>0</v>
      </c>
      <c r="U71">
        <v>1635</v>
      </c>
      <c r="V71" s="11">
        <f t="shared" si="1"/>
        <v>1635</v>
      </c>
      <c r="W71">
        <v>0</v>
      </c>
      <c r="X71" t="s">
        <v>274</v>
      </c>
      <c r="Y71" s="1" t="s">
        <v>31</v>
      </c>
    </row>
    <row r="72" spans="1:25">
      <c r="A72" t="s">
        <v>275</v>
      </c>
      <c r="B72" t="s">
        <v>276</v>
      </c>
      <c r="C72">
        <v>2050</v>
      </c>
      <c r="D72" t="s">
        <v>277</v>
      </c>
      <c r="E72" t="s">
        <v>278</v>
      </c>
      <c r="G72" s="1" t="s">
        <v>35</v>
      </c>
      <c r="H72" s="1">
        <v>9</v>
      </c>
      <c r="I72" s="1">
        <v>4</v>
      </c>
      <c r="J72">
        <v>2</v>
      </c>
      <c r="K72">
        <v>3000</v>
      </c>
      <c r="L72">
        <v>10000</v>
      </c>
      <c r="M72">
        <v>8000</v>
      </c>
      <c r="N72">
        <v>5000</v>
      </c>
      <c r="O72">
        <v>10000</v>
      </c>
      <c r="P72">
        <v>0</v>
      </c>
      <c r="Q72">
        <v>15000</v>
      </c>
      <c r="R72">
        <v>7000</v>
      </c>
      <c r="S72">
        <v>0</v>
      </c>
      <c r="T72">
        <v>0</v>
      </c>
      <c r="U72">
        <v>58000</v>
      </c>
      <c r="V72" s="11">
        <f t="shared" si="1"/>
        <v>58000</v>
      </c>
      <c r="W72">
        <v>0</v>
      </c>
      <c r="X72" t="s">
        <v>274</v>
      </c>
      <c r="Y72" s="1" t="s">
        <v>31</v>
      </c>
    </row>
    <row r="73" spans="1:25">
      <c r="A73" t="s">
        <v>279</v>
      </c>
      <c r="B73" t="s">
        <v>280</v>
      </c>
      <c r="C73">
        <v>2214</v>
      </c>
      <c r="D73" t="s">
        <v>281</v>
      </c>
      <c r="E73" t="s">
        <v>40</v>
      </c>
      <c r="G73" s="1" t="s">
        <v>29</v>
      </c>
      <c r="H73" s="1">
        <v>55</v>
      </c>
      <c r="I73" s="1">
        <v>2</v>
      </c>
      <c r="J73">
        <v>1</v>
      </c>
      <c r="K73">
        <v>1000</v>
      </c>
      <c r="L73" s="9">
        <v>2000</v>
      </c>
      <c r="M73">
        <v>33278</v>
      </c>
      <c r="N73">
        <v>9000</v>
      </c>
      <c r="O73">
        <v>15000</v>
      </c>
      <c r="P73">
        <v>0</v>
      </c>
      <c r="Q73">
        <v>1500</v>
      </c>
      <c r="R73" s="9">
        <v>15000</v>
      </c>
      <c r="S73">
        <v>0</v>
      </c>
      <c r="T73">
        <v>0</v>
      </c>
      <c r="U73">
        <v>76778</v>
      </c>
      <c r="V73" s="11">
        <f t="shared" si="1"/>
        <v>76778</v>
      </c>
      <c r="W73">
        <v>0</v>
      </c>
      <c r="X73" t="s">
        <v>282</v>
      </c>
      <c r="Y73" s="1" t="s">
        <v>31</v>
      </c>
    </row>
    <row r="74" spans="1:25">
      <c r="A74" t="s">
        <v>283</v>
      </c>
      <c r="B74" t="s">
        <v>284</v>
      </c>
      <c r="C74">
        <v>6856</v>
      </c>
      <c r="D74" t="s">
        <v>285</v>
      </c>
      <c r="E74" t="s">
        <v>115</v>
      </c>
      <c r="G74" s="1" t="s">
        <v>29</v>
      </c>
      <c r="H74" s="1">
        <v>47</v>
      </c>
      <c r="I74" s="1">
        <v>12</v>
      </c>
      <c r="J74">
        <v>2</v>
      </c>
      <c r="K74">
        <v>600</v>
      </c>
      <c r="L74">
        <v>2000</v>
      </c>
      <c r="M74">
        <v>2500</v>
      </c>
      <c r="N74">
        <v>1000</v>
      </c>
      <c r="O74">
        <v>5900</v>
      </c>
      <c r="P74">
        <v>0</v>
      </c>
      <c r="Q74">
        <v>2700</v>
      </c>
      <c r="R74">
        <v>0</v>
      </c>
      <c r="S74">
        <v>0</v>
      </c>
      <c r="T74">
        <v>0</v>
      </c>
      <c r="U74">
        <v>14700</v>
      </c>
      <c r="V74" s="11">
        <f t="shared" si="1"/>
        <v>14700</v>
      </c>
      <c r="W74">
        <v>0</v>
      </c>
      <c r="X74" t="s">
        <v>286</v>
      </c>
      <c r="Y74" s="1" t="s">
        <v>31</v>
      </c>
    </row>
    <row r="75" spans="1:25">
      <c r="A75" t="s">
        <v>287</v>
      </c>
      <c r="B75" t="s">
        <v>288</v>
      </c>
      <c r="C75">
        <v>7720</v>
      </c>
      <c r="D75" t="s">
        <v>289</v>
      </c>
      <c r="E75" t="s">
        <v>28</v>
      </c>
      <c r="G75" s="1" t="s">
        <v>29</v>
      </c>
      <c r="H75" s="1">
        <v>78</v>
      </c>
      <c r="I75" s="1">
        <v>5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11">
        <f t="shared" si="1"/>
        <v>0</v>
      </c>
      <c r="W75">
        <v>0</v>
      </c>
      <c r="X75" t="s">
        <v>104</v>
      </c>
      <c r="Y75" s="1" t="s">
        <v>31</v>
      </c>
    </row>
    <row r="76" spans="1:25">
      <c r="A76" t="s">
        <v>290</v>
      </c>
      <c r="B76" t="s">
        <v>291</v>
      </c>
      <c r="C76">
        <v>7723</v>
      </c>
      <c r="D76" t="s">
        <v>292</v>
      </c>
      <c r="E76" t="s">
        <v>66</v>
      </c>
      <c r="G76" s="1" t="s">
        <v>35</v>
      </c>
      <c r="H76" s="1">
        <v>43</v>
      </c>
      <c r="I76" s="1">
        <v>4</v>
      </c>
      <c r="J76" s="8">
        <v>0</v>
      </c>
      <c r="K76">
        <v>8000</v>
      </c>
      <c r="L76" s="8">
        <v>0</v>
      </c>
      <c r="M76" s="8"/>
      <c r="N76" s="8"/>
      <c r="O76" s="8"/>
      <c r="P76" s="8"/>
      <c r="Q76" s="8"/>
      <c r="R76" s="8"/>
      <c r="S76" s="8"/>
      <c r="T76" s="8"/>
      <c r="U76">
        <v>8000</v>
      </c>
      <c r="V76" s="11">
        <f t="shared" si="1"/>
        <v>8000</v>
      </c>
      <c r="W76">
        <v>0</v>
      </c>
      <c r="X76" t="s">
        <v>42</v>
      </c>
      <c r="Y76" s="1" t="s">
        <v>31</v>
      </c>
    </row>
    <row r="77" spans="1:25">
      <c r="A77" t="s">
        <v>293</v>
      </c>
      <c r="B77" t="s">
        <v>294</v>
      </c>
      <c r="C77">
        <v>6369</v>
      </c>
      <c r="D77" t="s">
        <v>295</v>
      </c>
      <c r="E77" t="s">
        <v>40</v>
      </c>
      <c r="G77" s="1" t="s">
        <v>35</v>
      </c>
      <c r="H77" s="1">
        <v>47</v>
      </c>
      <c r="I77" s="1">
        <v>3</v>
      </c>
      <c r="J77">
        <v>1</v>
      </c>
      <c r="L77">
        <v>8000</v>
      </c>
      <c r="O77">
        <v>64000</v>
      </c>
      <c r="Q77">
        <v>7000</v>
      </c>
      <c r="R77">
        <v>3000</v>
      </c>
      <c r="S77">
        <v>0</v>
      </c>
      <c r="T77">
        <v>0</v>
      </c>
      <c r="U77">
        <v>82000</v>
      </c>
      <c r="V77" s="11">
        <f t="shared" si="1"/>
        <v>82000</v>
      </c>
      <c r="W77">
        <v>0</v>
      </c>
      <c r="X77" t="s">
        <v>46</v>
      </c>
      <c r="Y77" s="1" t="s">
        <v>31</v>
      </c>
    </row>
    <row r="78" spans="1:25">
      <c r="A78" t="s">
        <v>296</v>
      </c>
      <c r="B78" t="s">
        <v>297</v>
      </c>
      <c r="C78">
        <v>5162</v>
      </c>
      <c r="D78" t="s">
        <v>298</v>
      </c>
      <c r="E78" t="s">
        <v>299</v>
      </c>
      <c r="F78" t="s">
        <v>300</v>
      </c>
      <c r="G78" s="1" t="s">
        <v>29</v>
      </c>
      <c r="H78" s="1">
        <v>68</v>
      </c>
      <c r="I78" s="1">
        <v>4</v>
      </c>
      <c r="J78">
        <v>2</v>
      </c>
      <c r="K78">
        <v>0</v>
      </c>
      <c r="L78" s="9">
        <v>1000</v>
      </c>
      <c r="M78">
        <v>0</v>
      </c>
      <c r="N78">
        <v>0</v>
      </c>
      <c r="O78" s="9">
        <v>32000</v>
      </c>
      <c r="P78">
        <v>0</v>
      </c>
      <c r="Q78">
        <v>2000</v>
      </c>
      <c r="R78">
        <v>1500</v>
      </c>
      <c r="S78">
        <v>2000</v>
      </c>
      <c r="T78">
        <v>0</v>
      </c>
      <c r="U78">
        <v>38500</v>
      </c>
      <c r="V78" s="11">
        <f t="shared" si="1"/>
        <v>38500</v>
      </c>
      <c r="W78">
        <v>0</v>
      </c>
      <c r="X78" t="s">
        <v>42</v>
      </c>
      <c r="Y78" s="1" t="s">
        <v>31</v>
      </c>
    </row>
    <row r="79" spans="1:25">
      <c r="A79" t="s">
        <v>301</v>
      </c>
      <c r="B79" t="s">
        <v>302</v>
      </c>
      <c r="C79">
        <v>5024</v>
      </c>
      <c r="D79" t="s">
        <v>303</v>
      </c>
      <c r="E79" t="s">
        <v>188</v>
      </c>
      <c r="G79" s="1" t="s">
        <v>29</v>
      </c>
      <c r="H79" s="1">
        <v>60</v>
      </c>
      <c r="I79" s="1">
        <v>24</v>
      </c>
      <c r="J79" s="8">
        <v>15</v>
      </c>
      <c r="K79">
        <v>29000</v>
      </c>
      <c r="L79">
        <v>2000</v>
      </c>
      <c r="M79">
        <v>0</v>
      </c>
      <c r="N79">
        <v>0</v>
      </c>
      <c r="O79">
        <v>100000</v>
      </c>
      <c r="P79">
        <v>0</v>
      </c>
      <c r="Q79">
        <v>10000</v>
      </c>
      <c r="R79">
        <v>5000</v>
      </c>
      <c r="S79">
        <v>5000</v>
      </c>
      <c r="T79">
        <v>0</v>
      </c>
      <c r="U79">
        <v>151000</v>
      </c>
      <c r="V79" s="11">
        <f t="shared" si="1"/>
        <v>151000</v>
      </c>
      <c r="W79">
        <v>0</v>
      </c>
      <c r="X79" t="s">
        <v>54</v>
      </c>
      <c r="Y79" s="1" t="s">
        <v>31</v>
      </c>
    </row>
    <row r="80" spans="1:25">
      <c r="A80" t="s">
        <v>304</v>
      </c>
      <c r="B80" t="s">
        <v>305</v>
      </c>
      <c r="C80">
        <v>5104</v>
      </c>
      <c r="D80" t="s">
        <v>306</v>
      </c>
      <c r="E80" t="s">
        <v>188</v>
      </c>
      <c r="G80" s="1" t="s">
        <v>35</v>
      </c>
      <c r="H80" s="1">
        <v>56</v>
      </c>
      <c r="I80" s="1">
        <v>12</v>
      </c>
      <c r="J80" s="8">
        <v>2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12">
        <f t="shared" si="1"/>
        <v>0</v>
      </c>
      <c r="W80">
        <v>0</v>
      </c>
      <c r="X80" t="s">
        <v>274</v>
      </c>
      <c r="Y80" s="1" t="s">
        <v>31</v>
      </c>
    </row>
    <row r="81" spans="1:25">
      <c r="A81" t="s">
        <v>304</v>
      </c>
      <c r="B81" t="s">
        <v>307</v>
      </c>
      <c r="C81">
        <v>5104</v>
      </c>
      <c r="D81" t="s">
        <v>308</v>
      </c>
      <c r="E81" t="s">
        <v>150</v>
      </c>
      <c r="G81" s="1" t="s">
        <v>29</v>
      </c>
      <c r="H81" s="1">
        <v>2</v>
      </c>
      <c r="I81" s="1">
        <v>12</v>
      </c>
      <c r="J81">
        <v>3</v>
      </c>
      <c r="K81">
        <v>0</v>
      </c>
      <c r="L81" s="9">
        <v>1000</v>
      </c>
      <c r="M81">
        <v>0</v>
      </c>
      <c r="N81">
        <v>0</v>
      </c>
      <c r="O81">
        <v>3000</v>
      </c>
      <c r="P81">
        <v>0</v>
      </c>
      <c r="R81">
        <v>1500</v>
      </c>
      <c r="S81">
        <v>0</v>
      </c>
      <c r="T81">
        <v>0</v>
      </c>
      <c r="U81">
        <v>5500</v>
      </c>
      <c r="V81" s="11">
        <f t="shared" si="1"/>
        <v>5500</v>
      </c>
      <c r="W81">
        <v>0</v>
      </c>
      <c r="X81" t="s">
        <v>282</v>
      </c>
      <c r="Y81" s="1" t="s">
        <v>31</v>
      </c>
    </row>
    <row r="82" spans="1:25">
      <c r="A82" t="s">
        <v>309</v>
      </c>
      <c r="B82" t="s">
        <v>310</v>
      </c>
      <c r="C82">
        <v>5127</v>
      </c>
      <c r="D82" t="s">
        <v>311</v>
      </c>
      <c r="E82" t="s">
        <v>66</v>
      </c>
      <c r="G82" s="1" t="s">
        <v>35</v>
      </c>
      <c r="H82" s="1">
        <v>73</v>
      </c>
      <c r="I82" s="1">
        <v>2</v>
      </c>
      <c r="J82">
        <v>1</v>
      </c>
      <c r="K82">
        <v>1000</v>
      </c>
      <c r="L82">
        <v>500</v>
      </c>
      <c r="M82">
        <v>0</v>
      </c>
      <c r="N82">
        <v>0</v>
      </c>
      <c r="O82">
        <v>5000</v>
      </c>
      <c r="P82">
        <v>0</v>
      </c>
      <c r="Q82">
        <v>5000</v>
      </c>
      <c r="R82">
        <v>200</v>
      </c>
      <c r="S82">
        <v>0</v>
      </c>
      <c r="T82">
        <v>0</v>
      </c>
      <c r="U82">
        <v>11700</v>
      </c>
      <c r="V82" s="11">
        <f t="shared" si="1"/>
        <v>11700</v>
      </c>
      <c r="W82">
        <v>0</v>
      </c>
      <c r="X82" t="s">
        <v>54</v>
      </c>
      <c r="Y82" s="1" t="s">
        <v>31</v>
      </c>
    </row>
    <row r="83" spans="1:25">
      <c r="A83" t="s">
        <v>312</v>
      </c>
      <c r="B83" t="s">
        <v>313</v>
      </c>
      <c r="C83">
        <v>8047</v>
      </c>
      <c r="D83" t="s">
        <v>314</v>
      </c>
      <c r="E83" t="s">
        <v>315</v>
      </c>
      <c r="G83" s="1" t="s">
        <v>29</v>
      </c>
      <c r="H83" s="1">
        <v>70</v>
      </c>
      <c r="I83" s="1">
        <v>12</v>
      </c>
      <c r="J83">
        <v>2</v>
      </c>
      <c r="K83">
        <v>0</v>
      </c>
      <c r="L83">
        <v>500</v>
      </c>
      <c r="M83">
        <v>2000</v>
      </c>
      <c r="N83">
        <v>5000</v>
      </c>
      <c r="O83">
        <v>7500</v>
      </c>
      <c r="P83">
        <v>0</v>
      </c>
      <c r="Q83">
        <v>0</v>
      </c>
      <c r="R83">
        <v>0</v>
      </c>
      <c r="S83">
        <v>0</v>
      </c>
      <c r="T83">
        <v>0</v>
      </c>
      <c r="U83">
        <v>15000</v>
      </c>
      <c r="V83" s="11">
        <f t="shared" si="1"/>
        <v>15000</v>
      </c>
      <c r="W83">
        <v>0</v>
      </c>
      <c r="X83" t="s">
        <v>316</v>
      </c>
      <c r="Y83" s="1" t="s">
        <v>31</v>
      </c>
    </row>
    <row r="84" spans="1:25">
      <c r="A84" t="s">
        <v>317</v>
      </c>
      <c r="B84" t="s">
        <v>318</v>
      </c>
      <c r="C84">
        <v>7557</v>
      </c>
      <c r="D84" t="s">
        <v>319</v>
      </c>
      <c r="E84" t="s">
        <v>150</v>
      </c>
      <c r="G84" s="1" t="s">
        <v>35</v>
      </c>
      <c r="H84" s="1">
        <v>57</v>
      </c>
      <c r="I84" s="1">
        <v>2</v>
      </c>
      <c r="J84">
        <v>1</v>
      </c>
      <c r="K84">
        <v>1500</v>
      </c>
      <c r="L84">
        <v>500</v>
      </c>
      <c r="M84">
        <v>1500</v>
      </c>
      <c r="N84">
        <v>3000</v>
      </c>
      <c r="O84">
        <v>15000</v>
      </c>
      <c r="P84">
        <v>0</v>
      </c>
      <c r="Q84">
        <v>4500</v>
      </c>
      <c r="R84">
        <v>4000</v>
      </c>
      <c r="S84">
        <v>0</v>
      </c>
      <c r="T84">
        <v>0</v>
      </c>
      <c r="U84">
        <v>30000</v>
      </c>
      <c r="V84" s="11">
        <f t="shared" si="1"/>
        <v>30000</v>
      </c>
      <c r="W84">
        <v>0</v>
      </c>
      <c r="X84" t="s">
        <v>104</v>
      </c>
      <c r="Y84" s="1" t="s">
        <v>31</v>
      </c>
    </row>
    <row r="85" spans="1:25">
      <c r="A85" t="s">
        <v>320</v>
      </c>
      <c r="B85" t="s">
        <v>321</v>
      </c>
      <c r="C85">
        <v>3968</v>
      </c>
      <c r="D85" t="s">
        <v>322</v>
      </c>
      <c r="E85" t="s">
        <v>188</v>
      </c>
      <c r="G85" s="1" t="s">
        <v>29</v>
      </c>
      <c r="H85" s="1">
        <v>61</v>
      </c>
      <c r="I85" s="1">
        <v>6</v>
      </c>
      <c r="J85" s="8">
        <v>4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12">
        <f t="shared" si="1"/>
        <v>0</v>
      </c>
      <c r="W85">
        <v>0</v>
      </c>
      <c r="X85" t="s">
        <v>54</v>
      </c>
      <c r="Y85" s="1" t="s">
        <v>31</v>
      </c>
    </row>
    <row r="86" spans="1:25">
      <c r="A86" t="s">
        <v>323</v>
      </c>
      <c r="B86" t="s">
        <v>324</v>
      </c>
      <c r="C86">
        <v>3992</v>
      </c>
      <c r="D86" t="s">
        <v>325</v>
      </c>
      <c r="E86" t="s">
        <v>188</v>
      </c>
      <c r="G86" s="1" t="s">
        <v>29</v>
      </c>
      <c r="H86" s="1">
        <v>40</v>
      </c>
      <c r="I86" s="1">
        <v>4</v>
      </c>
      <c r="J86">
        <v>1</v>
      </c>
      <c r="K86">
        <v>0</v>
      </c>
      <c r="L86">
        <v>25000</v>
      </c>
      <c r="M86">
        <v>15000</v>
      </c>
      <c r="N86">
        <v>0</v>
      </c>
      <c r="O86">
        <v>50000</v>
      </c>
      <c r="P86">
        <v>0</v>
      </c>
      <c r="Q86">
        <v>4500</v>
      </c>
      <c r="R86">
        <v>2500</v>
      </c>
      <c r="S86">
        <v>0</v>
      </c>
      <c r="T86">
        <v>0</v>
      </c>
      <c r="U86">
        <v>97000</v>
      </c>
      <c r="V86" s="11">
        <f t="shared" si="1"/>
        <v>97000</v>
      </c>
      <c r="W86">
        <v>0</v>
      </c>
      <c r="X86" t="s">
        <v>54</v>
      </c>
      <c r="Y86" s="1" t="s">
        <v>31</v>
      </c>
    </row>
    <row r="87" spans="1:25">
      <c r="A87" t="s">
        <v>326</v>
      </c>
      <c r="B87" t="s">
        <v>327</v>
      </c>
      <c r="C87">
        <v>2521</v>
      </c>
      <c r="D87" t="s">
        <v>328</v>
      </c>
      <c r="E87" t="s">
        <v>50</v>
      </c>
      <c r="F87" t="s">
        <v>329</v>
      </c>
      <c r="G87" s="1" t="s">
        <v>29</v>
      </c>
      <c r="H87" s="1">
        <v>68</v>
      </c>
      <c r="I87" s="1">
        <v>2</v>
      </c>
      <c r="J87">
        <v>1</v>
      </c>
      <c r="K87">
        <v>0</v>
      </c>
      <c r="L87">
        <v>1000</v>
      </c>
      <c r="M87">
        <v>30000</v>
      </c>
      <c r="N87">
        <v>25000</v>
      </c>
      <c r="O87">
        <v>30000</v>
      </c>
      <c r="P87">
        <v>9000</v>
      </c>
      <c r="Q87">
        <v>5000</v>
      </c>
      <c r="R87">
        <v>20000</v>
      </c>
      <c r="S87">
        <v>0</v>
      </c>
      <c r="T87">
        <v>0</v>
      </c>
      <c r="U87">
        <v>120000</v>
      </c>
      <c r="V87" s="11">
        <f t="shared" si="1"/>
        <v>120000</v>
      </c>
      <c r="W87">
        <v>0</v>
      </c>
      <c r="X87" t="s">
        <v>54</v>
      </c>
      <c r="Y87" s="1" t="s">
        <v>31</v>
      </c>
    </row>
    <row r="88" spans="1:25">
      <c r="A88" t="s">
        <v>330</v>
      </c>
      <c r="B88" t="s">
        <v>331</v>
      </c>
      <c r="C88">
        <v>2865</v>
      </c>
      <c r="D88" t="s">
        <v>332</v>
      </c>
      <c r="E88" t="s">
        <v>71</v>
      </c>
      <c r="G88" s="1" t="s">
        <v>35</v>
      </c>
      <c r="H88" s="1">
        <v>31</v>
      </c>
      <c r="I88" s="1">
        <v>10</v>
      </c>
      <c r="J88">
        <v>1</v>
      </c>
      <c r="K88">
        <v>0</v>
      </c>
      <c r="L88" s="7">
        <v>10000</v>
      </c>
      <c r="M88">
        <v>70000</v>
      </c>
      <c r="N88">
        <v>20000</v>
      </c>
      <c r="O88" s="7">
        <v>340000</v>
      </c>
      <c r="P88">
        <v>19000</v>
      </c>
      <c r="Q88">
        <v>50000</v>
      </c>
      <c r="R88">
        <v>50000</v>
      </c>
      <c r="S88">
        <v>0</v>
      </c>
      <c r="T88">
        <v>0</v>
      </c>
      <c r="U88">
        <v>559000</v>
      </c>
      <c r="V88" s="11">
        <f t="shared" si="1"/>
        <v>559000</v>
      </c>
      <c r="W88">
        <v>0</v>
      </c>
      <c r="X88" t="s">
        <v>42</v>
      </c>
      <c r="Y88" s="1" t="s">
        <v>31</v>
      </c>
    </row>
    <row r="89" spans="1:25">
      <c r="A89" t="s">
        <v>333</v>
      </c>
      <c r="B89" t="s">
        <v>334</v>
      </c>
      <c r="C89">
        <v>3309</v>
      </c>
      <c r="D89" t="s">
        <v>335</v>
      </c>
      <c r="E89" t="s">
        <v>40</v>
      </c>
      <c r="G89" s="1" t="s">
        <v>35</v>
      </c>
      <c r="H89" s="1">
        <v>85</v>
      </c>
      <c r="I89" s="1">
        <v>12</v>
      </c>
      <c r="J89">
        <v>1</v>
      </c>
      <c r="K89">
        <v>600</v>
      </c>
      <c r="L89" s="7">
        <v>20000</v>
      </c>
      <c r="M89">
        <v>10000</v>
      </c>
      <c r="N89">
        <v>5000</v>
      </c>
      <c r="O89">
        <v>15000</v>
      </c>
      <c r="P89" s="7">
        <v>100000</v>
      </c>
      <c r="Q89">
        <v>7000</v>
      </c>
      <c r="R89">
        <v>5000</v>
      </c>
      <c r="S89">
        <v>0</v>
      </c>
      <c r="T89">
        <v>0</v>
      </c>
      <c r="U89">
        <v>162600</v>
      </c>
      <c r="V89" s="11">
        <f t="shared" si="1"/>
        <v>162600</v>
      </c>
      <c r="W89">
        <v>0</v>
      </c>
      <c r="X89" t="s">
        <v>54</v>
      </c>
      <c r="Y89" s="1" t="s">
        <v>31</v>
      </c>
    </row>
    <row r="90" spans="1:25">
      <c r="A90" t="s">
        <v>336</v>
      </c>
      <c r="B90" t="s">
        <v>337</v>
      </c>
      <c r="C90">
        <v>2556</v>
      </c>
      <c r="D90" t="s">
        <v>338</v>
      </c>
      <c r="E90" t="s">
        <v>50</v>
      </c>
      <c r="G90" s="1" t="s">
        <v>35</v>
      </c>
      <c r="H90" s="1">
        <v>72</v>
      </c>
      <c r="I90" s="1">
        <v>12</v>
      </c>
      <c r="J90">
        <v>1</v>
      </c>
      <c r="K90">
        <v>50000</v>
      </c>
      <c r="L90" s="7">
        <v>50000</v>
      </c>
      <c r="M90">
        <v>60000</v>
      </c>
      <c r="N90">
        <v>20000</v>
      </c>
      <c r="O90" s="7">
        <v>560000</v>
      </c>
      <c r="P90">
        <v>40000</v>
      </c>
      <c r="Q90">
        <v>15000</v>
      </c>
      <c r="R90">
        <v>5000</v>
      </c>
      <c r="S90">
        <v>0</v>
      </c>
      <c r="T90">
        <v>0</v>
      </c>
      <c r="U90">
        <v>800000</v>
      </c>
      <c r="V90" s="11">
        <f t="shared" si="1"/>
        <v>800000</v>
      </c>
      <c r="W90">
        <v>0</v>
      </c>
      <c r="X90" t="s">
        <v>42</v>
      </c>
      <c r="Y90" s="1" t="s">
        <v>31</v>
      </c>
    </row>
    <row r="91" spans="1:25">
      <c r="A91" t="s">
        <v>339</v>
      </c>
      <c r="B91" t="s">
        <v>340</v>
      </c>
      <c r="C91">
        <v>2781</v>
      </c>
      <c r="D91" t="s">
        <v>341</v>
      </c>
      <c r="E91" t="s">
        <v>115</v>
      </c>
      <c r="G91" s="1" t="s">
        <v>29</v>
      </c>
      <c r="H91" s="1">
        <v>44</v>
      </c>
      <c r="I91" s="1">
        <v>6</v>
      </c>
      <c r="J91">
        <v>1</v>
      </c>
      <c r="K91">
        <v>1600</v>
      </c>
      <c r="L91">
        <v>15000</v>
      </c>
      <c r="M91">
        <v>0</v>
      </c>
      <c r="N91">
        <v>10000</v>
      </c>
      <c r="O91">
        <v>2500</v>
      </c>
      <c r="P91">
        <v>5000</v>
      </c>
      <c r="Q91">
        <v>2000</v>
      </c>
      <c r="R91">
        <v>800</v>
      </c>
      <c r="S91">
        <v>0</v>
      </c>
      <c r="T91">
        <v>0</v>
      </c>
      <c r="U91">
        <v>36900</v>
      </c>
      <c r="V91" s="11">
        <f t="shared" si="1"/>
        <v>36900</v>
      </c>
      <c r="W91">
        <v>0</v>
      </c>
      <c r="X91" t="s">
        <v>42</v>
      </c>
      <c r="Y91" s="1" t="s">
        <v>31</v>
      </c>
    </row>
    <row r="92" spans="1:25">
      <c r="A92" t="s">
        <v>342</v>
      </c>
      <c r="B92" t="s">
        <v>343</v>
      </c>
      <c r="C92">
        <v>2813</v>
      </c>
      <c r="D92" t="s">
        <v>344</v>
      </c>
      <c r="E92" t="s">
        <v>62</v>
      </c>
      <c r="G92" s="1" t="s">
        <v>35</v>
      </c>
      <c r="H92" s="1">
        <v>69</v>
      </c>
      <c r="I92" s="1">
        <v>1</v>
      </c>
      <c r="J92">
        <v>2</v>
      </c>
      <c r="K92">
        <v>850</v>
      </c>
      <c r="L92" s="9">
        <v>2000</v>
      </c>
      <c r="M92">
        <v>15000</v>
      </c>
      <c r="N92">
        <v>13000</v>
      </c>
      <c r="O92">
        <v>7500</v>
      </c>
      <c r="P92">
        <v>2000</v>
      </c>
      <c r="Q92">
        <v>3000</v>
      </c>
      <c r="R92">
        <v>1500</v>
      </c>
      <c r="S92">
        <v>0</v>
      </c>
      <c r="T92" s="9">
        <v>0</v>
      </c>
      <c r="U92">
        <v>44850</v>
      </c>
      <c r="V92" s="11">
        <f t="shared" si="1"/>
        <v>44850</v>
      </c>
      <c r="W92">
        <v>0</v>
      </c>
      <c r="X92" t="s">
        <v>345</v>
      </c>
      <c r="Y92" s="1" t="s">
        <v>31</v>
      </c>
    </row>
    <row r="93" spans="1:25">
      <c r="A93" t="s">
        <v>342</v>
      </c>
      <c r="B93" t="s">
        <v>343</v>
      </c>
      <c r="C93">
        <v>2813</v>
      </c>
      <c r="D93" t="s">
        <v>346</v>
      </c>
      <c r="E93" t="s">
        <v>150</v>
      </c>
      <c r="F93" t="s">
        <v>347</v>
      </c>
      <c r="G93" s="1" t="s">
        <v>35</v>
      </c>
      <c r="H93" s="1">
        <v>69</v>
      </c>
      <c r="I93" s="1">
        <v>2</v>
      </c>
      <c r="J93">
        <v>1</v>
      </c>
      <c r="K93">
        <v>1000</v>
      </c>
      <c r="L93" s="9">
        <v>1000</v>
      </c>
      <c r="M93">
        <v>10000</v>
      </c>
      <c r="N93">
        <v>10000</v>
      </c>
      <c r="O93">
        <v>18000</v>
      </c>
      <c r="P93">
        <v>15000</v>
      </c>
      <c r="Q93">
        <v>1200</v>
      </c>
      <c r="R93">
        <v>4500</v>
      </c>
      <c r="S93">
        <v>0</v>
      </c>
      <c r="T93" s="9">
        <v>0</v>
      </c>
      <c r="U93">
        <v>60700</v>
      </c>
      <c r="V93" s="11">
        <f t="shared" si="1"/>
        <v>60700</v>
      </c>
      <c r="W93">
        <v>0</v>
      </c>
      <c r="X93" t="s">
        <v>46</v>
      </c>
      <c r="Y93" s="1" t="s">
        <v>31</v>
      </c>
    </row>
    <row r="94" spans="1:25">
      <c r="A94" t="s">
        <v>348</v>
      </c>
      <c r="B94" t="s">
        <v>349</v>
      </c>
      <c r="C94">
        <v>2264</v>
      </c>
      <c r="D94" t="s">
        <v>350</v>
      </c>
      <c r="E94" t="s">
        <v>66</v>
      </c>
      <c r="G94" s="1" t="s">
        <v>35</v>
      </c>
      <c r="H94" s="1">
        <v>64</v>
      </c>
      <c r="I94" s="1">
        <v>3</v>
      </c>
      <c r="J94">
        <v>1</v>
      </c>
      <c r="K94">
        <v>1500</v>
      </c>
      <c r="L94">
        <v>30000</v>
      </c>
      <c r="M94">
        <v>10000</v>
      </c>
      <c r="N94">
        <v>8000</v>
      </c>
      <c r="O94">
        <v>60000</v>
      </c>
      <c r="P94">
        <v>4500</v>
      </c>
      <c r="Q94">
        <v>2500</v>
      </c>
      <c r="R94">
        <v>5000</v>
      </c>
      <c r="S94">
        <v>22000</v>
      </c>
      <c r="T94">
        <v>0</v>
      </c>
      <c r="U94">
        <v>143500</v>
      </c>
      <c r="V94" s="11">
        <f t="shared" si="1"/>
        <v>143500</v>
      </c>
      <c r="W94">
        <v>0</v>
      </c>
      <c r="X94" t="s">
        <v>54</v>
      </c>
      <c r="Y94" s="1" t="s">
        <v>31</v>
      </c>
    </row>
    <row r="95" spans="1:25">
      <c r="A95" t="s">
        <v>351</v>
      </c>
      <c r="B95" t="s">
        <v>352</v>
      </c>
      <c r="C95">
        <v>2276</v>
      </c>
      <c r="D95" t="s">
        <v>353</v>
      </c>
      <c r="E95" t="s">
        <v>66</v>
      </c>
      <c r="G95" s="1" t="s">
        <v>29</v>
      </c>
      <c r="H95" s="1">
        <v>76</v>
      </c>
      <c r="I95" s="1">
        <v>4</v>
      </c>
      <c r="J95">
        <v>1</v>
      </c>
      <c r="K95">
        <v>500</v>
      </c>
      <c r="L95">
        <v>500</v>
      </c>
      <c r="M95">
        <v>2000</v>
      </c>
      <c r="N95">
        <v>500</v>
      </c>
      <c r="O95">
        <v>1200</v>
      </c>
      <c r="P95">
        <v>0</v>
      </c>
      <c r="Q95">
        <v>1000</v>
      </c>
      <c r="R95">
        <v>1500</v>
      </c>
      <c r="S95">
        <v>0</v>
      </c>
      <c r="T95">
        <v>0</v>
      </c>
      <c r="U95">
        <v>7200</v>
      </c>
      <c r="V95" s="11">
        <f t="shared" si="1"/>
        <v>7200</v>
      </c>
      <c r="W95">
        <v>0</v>
      </c>
      <c r="X95" t="s">
        <v>193</v>
      </c>
      <c r="Y95" s="1" t="s">
        <v>31</v>
      </c>
    </row>
    <row r="96" spans="1:25">
      <c r="A96" t="s">
        <v>354</v>
      </c>
      <c r="B96" t="s">
        <v>355</v>
      </c>
      <c r="C96">
        <v>5750</v>
      </c>
      <c r="D96" t="s">
        <v>356</v>
      </c>
      <c r="E96" t="s">
        <v>28</v>
      </c>
      <c r="G96" s="1" t="s">
        <v>35</v>
      </c>
      <c r="H96" s="1">
        <v>52</v>
      </c>
      <c r="I96" s="1">
        <v>12</v>
      </c>
      <c r="J96">
        <v>1</v>
      </c>
      <c r="K96">
        <v>1000</v>
      </c>
      <c r="L96">
        <v>1000</v>
      </c>
      <c r="M96">
        <v>5000</v>
      </c>
      <c r="N96">
        <v>5000</v>
      </c>
      <c r="O96">
        <v>25000</v>
      </c>
      <c r="Q96">
        <v>3000</v>
      </c>
      <c r="U96">
        <v>40000</v>
      </c>
      <c r="V96" s="11">
        <f t="shared" si="1"/>
        <v>40000</v>
      </c>
      <c r="W96">
        <v>0</v>
      </c>
      <c r="X96" t="s">
        <v>46</v>
      </c>
      <c r="Y96" s="1" t="s">
        <v>31</v>
      </c>
    </row>
    <row r="97" spans="1:25">
      <c r="A97" t="s">
        <v>357</v>
      </c>
      <c r="B97" t="s">
        <v>358</v>
      </c>
      <c r="C97">
        <v>4245</v>
      </c>
      <c r="D97" t="s">
        <v>359</v>
      </c>
      <c r="E97" t="s">
        <v>40</v>
      </c>
      <c r="G97" s="1" t="s">
        <v>29</v>
      </c>
      <c r="H97" s="1">
        <v>82</v>
      </c>
      <c r="I97" s="1">
        <v>2</v>
      </c>
      <c r="J97">
        <v>1</v>
      </c>
      <c r="K97">
        <v>0</v>
      </c>
      <c r="L97" s="7">
        <v>4000</v>
      </c>
      <c r="M97" s="7">
        <v>2000</v>
      </c>
      <c r="N97" s="7">
        <v>4000</v>
      </c>
      <c r="O97" s="7">
        <v>30000</v>
      </c>
      <c r="P97">
        <v>0</v>
      </c>
      <c r="Q97">
        <v>2000</v>
      </c>
      <c r="R97">
        <v>3000</v>
      </c>
      <c r="S97">
        <v>0</v>
      </c>
      <c r="T97">
        <v>0</v>
      </c>
      <c r="U97">
        <v>45000</v>
      </c>
      <c r="V97" s="11">
        <f t="shared" si="1"/>
        <v>45000</v>
      </c>
      <c r="W97">
        <v>0</v>
      </c>
      <c r="X97" t="s">
        <v>30</v>
      </c>
      <c r="Y97" s="1" t="s">
        <v>31</v>
      </c>
    </row>
    <row r="98" spans="1:25">
      <c r="A98" t="s">
        <v>360</v>
      </c>
      <c r="B98" t="s">
        <v>361</v>
      </c>
      <c r="C98">
        <v>7805</v>
      </c>
      <c r="D98" t="s">
        <v>362</v>
      </c>
      <c r="E98" t="s">
        <v>150</v>
      </c>
      <c r="G98" s="1" t="s">
        <v>29</v>
      </c>
      <c r="H98" s="1">
        <v>75</v>
      </c>
      <c r="I98" s="1">
        <v>5</v>
      </c>
      <c r="J98">
        <v>3</v>
      </c>
      <c r="K98">
        <v>0</v>
      </c>
      <c r="L98">
        <v>3500</v>
      </c>
      <c r="M98">
        <v>4500</v>
      </c>
      <c r="N98">
        <v>4000</v>
      </c>
      <c r="O98">
        <v>1500</v>
      </c>
      <c r="P98">
        <v>2000</v>
      </c>
      <c r="Q98">
        <v>9000</v>
      </c>
      <c r="R98">
        <v>4000</v>
      </c>
      <c r="S98">
        <v>11000</v>
      </c>
      <c r="T98">
        <v>0</v>
      </c>
      <c r="U98">
        <v>39500</v>
      </c>
      <c r="V98" s="11">
        <f t="shared" si="1"/>
        <v>39500</v>
      </c>
      <c r="W98">
        <v>0</v>
      </c>
      <c r="X98" t="s">
        <v>104</v>
      </c>
      <c r="Y98" s="1" t="s">
        <v>31</v>
      </c>
    </row>
    <row r="99" spans="1:25">
      <c r="A99" t="s">
        <v>363</v>
      </c>
      <c r="B99" t="s">
        <v>364</v>
      </c>
      <c r="C99">
        <v>7808</v>
      </c>
      <c r="D99" t="s">
        <v>365</v>
      </c>
      <c r="E99" t="s">
        <v>259</v>
      </c>
      <c r="G99" s="1" t="s">
        <v>29</v>
      </c>
      <c r="H99" s="1">
        <v>40</v>
      </c>
      <c r="I99" s="1">
        <v>1</v>
      </c>
      <c r="J99">
        <v>1</v>
      </c>
      <c r="K99">
        <v>10</v>
      </c>
      <c r="L99">
        <v>15000</v>
      </c>
      <c r="M99">
        <v>4000</v>
      </c>
      <c r="N99">
        <v>1200</v>
      </c>
      <c r="O99">
        <v>500</v>
      </c>
      <c r="P99">
        <v>8500</v>
      </c>
      <c r="Q99">
        <v>500</v>
      </c>
      <c r="R99">
        <v>3000</v>
      </c>
      <c r="S99">
        <v>3500</v>
      </c>
      <c r="T99">
        <v>0</v>
      </c>
      <c r="U99">
        <v>36210</v>
      </c>
      <c r="V99" s="11">
        <f t="shared" si="1"/>
        <v>36210</v>
      </c>
      <c r="W99">
        <v>0</v>
      </c>
      <c r="X99" t="s">
        <v>193</v>
      </c>
      <c r="Y99" s="1" t="s">
        <v>31</v>
      </c>
    </row>
    <row r="100" spans="1:25">
      <c r="A100" t="s">
        <v>366</v>
      </c>
      <c r="B100" t="s">
        <v>367</v>
      </c>
      <c r="C100">
        <v>3942</v>
      </c>
      <c r="D100" t="s">
        <v>368</v>
      </c>
      <c r="E100" t="s">
        <v>62</v>
      </c>
      <c r="G100" s="1" t="s">
        <v>29</v>
      </c>
      <c r="H100" s="1">
        <v>68</v>
      </c>
      <c r="I100" s="1">
        <v>4</v>
      </c>
      <c r="J100">
        <v>1</v>
      </c>
      <c r="K100">
        <v>0</v>
      </c>
      <c r="L100" s="9">
        <v>5000</v>
      </c>
      <c r="M100" s="9">
        <v>8000</v>
      </c>
      <c r="N100" s="9">
        <v>6000</v>
      </c>
      <c r="O100" s="9">
        <v>32000</v>
      </c>
      <c r="P100">
        <v>0</v>
      </c>
      <c r="Q100">
        <v>3000</v>
      </c>
      <c r="R100">
        <v>3500</v>
      </c>
      <c r="S100">
        <v>3500</v>
      </c>
      <c r="T100" s="9">
        <v>0</v>
      </c>
      <c r="U100">
        <v>61000</v>
      </c>
      <c r="V100" s="11">
        <f t="shared" si="1"/>
        <v>61000</v>
      </c>
      <c r="W100">
        <v>0</v>
      </c>
      <c r="X100" t="s">
        <v>108</v>
      </c>
      <c r="Y100" s="1" t="s">
        <v>31</v>
      </c>
    </row>
    <row r="101" spans="1:25">
      <c r="A101" t="s">
        <v>369</v>
      </c>
      <c r="B101" t="s">
        <v>370</v>
      </c>
      <c r="C101">
        <v>4035</v>
      </c>
      <c r="D101" t="s">
        <v>371</v>
      </c>
      <c r="E101" t="s">
        <v>150</v>
      </c>
      <c r="G101" s="1" t="s">
        <v>29</v>
      </c>
      <c r="H101" s="1">
        <v>65</v>
      </c>
      <c r="I101" s="1">
        <v>4</v>
      </c>
      <c r="J101">
        <v>1</v>
      </c>
      <c r="K101">
        <v>100</v>
      </c>
      <c r="L101" s="7">
        <v>5000</v>
      </c>
      <c r="M101">
        <v>3000</v>
      </c>
      <c r="N101">
        <v>2000</v>
      </c>
      <c r="O101" s="7">
        <v>25000</v>
      </c>
      <c r="P101">
        <v>0</v>
      </c>
      <c r="Q101">
        <v>1500</v>
      </c>
      <c r="R101">
        <v>500</v>
      </c>
      <c r="S101">
        <v>2000</v>
      </c>
      <c r="T101">
        <v>0</v>
      </c>
      <c r="U101">
        <v>39100</v>
      </c>
      <c r="V101" s="11">
        <f t="shared" si="1"/>
        <v>39100</v>
      </c>
      <c r="W101">
        <v>0</v>
      </c>
      <c r="X101" t="s">
        <v>372</v>
      </c>
      <c r="Y101" s="1" t="s">
        <v>31</v>
      </c>
    </row>
    <row r="102" spans="1:25">
      <c r="A102" t="s">
        <v>373</v>
      </c>
      <c r="B102" t="s">
        <v>374</v>
      </c>
      <c r="C102">
        <v>4051</v>
      </c>
      <c r="D102" t="s">
        <v>375</v>
      </c>
      <c r="E102" t="s">
        <v>62</v>
      </c>
      <c r="G102" s="1" t="s">
        <v>35</v>
      </c>
      <c r="H102" s="1">
        <v>77</v>
      </c>
      <c r="I102" s="1">
        <v>12</v>
      </c>
      <c r="J102">
        <v>1</v>
      </c>
      <c r="K102">
        <v>0</v>
      </c>
      <c r="L102" s="7">
        <v>3000</v>
      </c>
      <c r="M102" s="7">
        <v>4000</v>
      </c>
      <c r="N102" s="7">
        <v>3000</v>
      </c>
      <c r="O102" s="7">
        <v>25000</v>
      </c>
      <c r="P102">
        <v>0</v>
      </c>
      <c r="Q102">
        <v>400</v>
      </c>
      <c r="R102">
        <v>2000</v>
      </c>
      <c r="S102">
        <v>2400</v>
      </c>
      <c r="T102">
        <v>0</v>
      </c>
      <c r="U102">
        <v>39800</v>
      </c>
      <c r="V102" s="11">
        <f t="shared" si="1"/>
        <v>39800</v>
      </c>
      <c r="W102">
        <v>0</v>
      </c>
      <c r="X102" t="s">
        <v>376</v>
      </c>
      <c r="Y102" s="1" t="s">
        <v>31</v>
      </c>
    </row>
    <row r="103" spans="1:25">
      <c r="A103" t="s">
        <v>377</v>
      </c>
      <c r="B103" t="s">
        <v>378</v>
      </c>
      <c r="C103">
        <v>3425</v>
      </c>
      <c r="D103" t="s">
        <v>379</v>
      </c>
      <c r="E103" t="s">
        <v>66</v>
      </c>
      <c r="G103" s="1" t="s">
        <v>29</v>
      </c>
      <c r="H103" s="1">
        <v>69</v>
      </c>
      <c r="I103" s="1">
        <v>12</v>
      </c>
      <c r="J103">
        <v>2</v>
      </c>
      <c r="K103">
        <v>3000</v>
      </c>
      <c r="L103">
        <v>700</v>
      </c>
      <c r="M103">
        <v>5000</v>
      </c>
      <c r="N103">
        <v>5000</v>
      </c>
      <c r="O103" s="9">
        <v>80000</v>
      </c>
      <c r="P103">
        <v>3000</v>
      </c>
      <c r="Q103">
        <v>10000</v>
      </c>
      <c r="R103">
        <v>10000</v>
      </c>
      <c r="S103">
        <v>5000</v>
      </c>
      <c r="T103" s="9">
        <v>0</v>
      </c>
      <c r="U103">
        <v>121700</v>
      </c>
      <c r="V103" s="11">
        <f t="shared" si="1"/>
        <v>121700</v>
      </c>
      <c r="W103">
        <v>0</v>
      </c>
      <c r="X103" t="s">
        <v>54</v>
      </c>
      <c r="Y103" s="1" t="s">
        <v>31</v>
      </c>
    </row>
    <row r="104" spans="1:25">
      <c r="A104" t="s">
        <v>380</v>
      </c>
      <c r="B104" t="s">
        <v>381</v>
      </c>
      <c r="C104">
        <v>1105</v>
      </c>
      <c r="D104" t="s">
        <v>382</v>
      </c>
      <c r="E104" t="s">
        <v>62</v>
      </c>
      <c r="G104" s="1" t="s">
        <v>35</v>
      </c>
      <c r="H104" s="1">
        <v>56</v>
      </c>
      <c r="I104" s="1">
        <v>15</v>
      </c>
      <c r="J104">
        <v>1</v>
      </c>
      <c r="L104">
        <v>500</v>
      </c>
      <c r="M104">
        <v>1000</v>
      </c>
      <c r="N104">
        <v>2000</v>
      </c>
      <c r="O104">
        <v>10000</v>
      </c>
      <c r="T104">
        <v>0</v>
      </c>
      <c r="U104">
        <v>13500</v>
      </c>
      <c r="V104" s="11">
        <f t="shared" si="1"/>
        <v>13500</v>
      </c>
      <c r="W104">
        <v>0</v>
      </c>
      <c r="X104" t="s">
        <v>54</v>
      </c>
      <c r="Y104" s="1" t="s">
        <v>31</v>
      </c>
    </row>
    <row r="105" spans="1:25">
      <c r="A105" t="s">
        <v>383</v>
      </c>
      <c r="B105" t="s">
        <v>384</v>
      </c>
      <c r="C105">
        <v>7132</v>
      </c>
      <c r="D105" t="s">
        <v>385</v>
      </c>
      <c r="E105" t="s">
        <v>50</v>
      </c>
      <c r="G105" s="1" t="s">
        <v>29</v>
      </c>
      <c r="H105" s="1">
        <v>12</v>
      </c>
      <c r="I105" s="1">
        <v>2</v>
      </c>
      <c r="J105">
        <v>3</v>
      </c>
      <c r="L105" s="9">
        <v>5000</v>
      </c>
      <c r="M105" s="9"/>
      <c r="N105" s="9">
        <v>5000</v>
      </c>
      <c r="O105" s="9">
        <v>25000</v>
      </c>
      <c r="T105">
        <v>0</v>
      </c>
      <c r="U105">
        <v>35000</v>
      </c>
      <c r="V105" s="11">
        <f t="shared" si="1"/>
        <v>35000</v>
      </c>
      <c r="W105">
        <v>0</v>
      </c>
      <c r="X105" t="s">
        <v>193</v>
      </c>
      <c r="Y105" s="1" t="s">
        <v>31</v>
      </c>
    </row>
    <row r="106" spans="1:25">
      <c r="A106" t="s">
        <v>386</v>
      </c>
      <c r="B106" t="s">
        <v>387</v>
      </c>
      <c r="C106">
        <v>7142</v>
      </c>
      <c r="D106" t="s">
        <v>388</v>
      </c>
      <c r="E106" t="s">
        <v>188</v>
      </c>
      <c r="G106" s="1" t="s">
        <v>29</v>
      </c>
      <c r="H106" s="1">
        <v>20</v>
      </c>
      <c r="I106" s="1">
        <v>6</v>
      </c>
      <c r="J106">
        <v>1</v>
      </c>
      <c r="L106" s="9">
        <v>5000</v>
      </c>
      <c r="M106" s="9"/>
      <c r="N106" s="9"/>
      <c r="O106" s="9">
        <v>35000</v>
      </c>
      <c r="U106">
        <v>40000</v>
      </c>
      <c r="V106" s="11">
        <f t="shared" si="1"/>
        <v>40000</v>
      </c>
      <c r="W106">
        <v>0</v>
      </c>
      <c r="X106" t="s">
        <v>42</v>
      </c>
      <c r="Y106" s="1" t="s">
        <v>31</v>
      </c>
    </row>
    <row r="107" spans="1:25">
      <c r="A107" t="s">
        <v>389</v>
      </c>
      <c r="B107" t="s">
        <v>390</v>
      </c>
      <c r="C107">
        <v>6879</v>
      </c>
      <c r="D107" t="s">
        <v>391</v>
      </c>
      <c r="E107" t="s">
        <v>188</v>
      </c>
      <c r="G107" s="1" t="s">
        <v>29</v>
      </c>
      <c r="H107" s="1">
        <v>55</v>
      </c>
      <c r="I107" s="1">
        <v>20</v>
      </c>
      <c r="J107">
        <v>7</v>
      </c>
      <c r="K107" s="9">
        <v>1000</v>
      </c>
      <c r="L107" s="9">
        <v>4000</v>
      </c>
      <c r="M107">
        <v>30000</v>
      </c>
      <c r="N107">
        <v>50000</v>
      </c>
      <c r="O107">
        <v>200000</v>
      </c>
      <c r="P107">
        <v>50000</v>
      </c>
      <c r="Q107">
        <v>20000</v>
      </c>
      <c r="R107">
        <v>70000</v>
      </c>
      <c r="S107">
        <v>0</v>
      </c>
      <c r="T107">
        <v>0</v>
      </c>
      <c r="U107">
        <v>425000</v>
      </c>
      <c r="V107" s="11">
        <f t="shared" si="1"/>
        <v>425000</v>
      </c>
      <c r="W107">
        <v>0</v>
      </c>
      <c r="X107" t="s">
        <v>42</v>
      </c>
      <c r="Y107" s="1" t="s">
        <v>31</v>
      </c>
    </row>
    <row r="108" spans="1:25">
      <c r="A108" t="s">
        <v>392</v>
      </c>
      <c r="B108" t="s">
        <v>393</v>
      </c>
      <c r="C108">
        <v>11457</v>
      </c>
      <c r="D108" t="s">
        <v>394</v>
      </c>
      <c r="E108" t="s">
        <v>50</v>
      </c>
      <c r="G108" s="1" t="s">
        <v>29</v>
      </c>
      <c r="H108" s="1">
        <v>54</v>
      </c>
      <c r="I108" s="1">
        <v>6</v>
      </c>
      <c r="J108">
        <v>1</v>
      </c>
      <c r="K108">
        <v>700</v>
      </c>
      <c r="L108">
        <v>2000</v>
      </c>
      <c r="M108">
        <v>1200</v>
      </c>
      <c r="N108">
        <v>1300</v>
      </c>
      <c r="O108">
        <v>5000</v>
      </c>
      <c r="P108">
        <v>0</v>
      </c>
      <c r="Q108">
        <v>2000</v>
      </c>
      <c r="R108">
        <v>3000</v>
      </c>
      <c r="S108" s="9">
        <v>3000</v>
      </c>
      <c r="U108">
        <v>18200</v>
      </c>
      <c r="V108" s="11">
        <f t="shared" si="1"/>
        <v>18200</v>
      </c>
      <c r="W108">
        <v>0</v>
      </c>
      <c r="X108" t="s">
        <v>54</v>
      </c>
      <c r="Y108" s="1" t="s">
        <v>31</v>
      </c>
    </row>
    <row r="109" spans="1:25">
      <c r="A109" t="s">
        <v>395</v>
      </c>
      <c r="B109" t="s">
        <v>396</v>
      </c>
      <c r="C109">
        <v>11462</v>
      </c>
      <c r="D109" t="s">
        <v>397</v>
      </c>
      <c r="E109" t="s">
        <v>66</v>
      </c>
      <c r="G109" s="1" t="s">
        <v>35</v>
      </c>
      <c r="H109" s="1">
        <v>69</v>
      </c>
      <c r="I109" s="1">
        <v>6</v>
      </c>
      <c r="J109">
        <v>1</v>
      </c>
      <c r="L109">
        <v>3000</v>
      </c>
      <c r="M109">
        <v>2000</v>
      </c>
      <c r="N109">
        <v>3000</v>
      </c>
      <c r="O109">
        <v>10000</v>
      </c>
      <c r="U109">
        <v>15000</v>
      </c>
      <c r="V109" s="11">
        <f t="shared" si="1"/>
        <v>18000</v>
      </c>
      <c r="W109">
        <v>0</v>
      </c>
      <c r="X109" t="s">
        <v>54</v>
      </c>
      <c r="Y109" s="1" t="s">
        <v>31</v>
      </c>
    </row>
    <row r="110" spans="1:25">
      <c r="A110" t="s">
        <v>395</v>
      </c>
      <c r="B110" t="s">
        <v>398</v>
      </c>
      <c r="C110">
        <v>11462</v>
      </c>
      <c r="D110" t="s">
        <v>399</v>
      </c>
      <c r="E110" t="s">
        <v>66</v>
      </c>
      <c r="G110" s="1" t="s">
        <v>29</v>
      </c>
      <c r="H110" s="1">
        <v>59</v>
      </c>
      <c r="I110" s="1">
        <v>6</v>
      </c>
      <c r="J110">
        <v>1</v>
      </c>
      <c r="K110">
        <v>0</v>
      </c>
      <c r="L110">
        <v>25</v>
      </c>
      <c r="M110">
        <v>5000</v>
      </c>
      <c r="N110">
        <v>6000</v>
      </c>
      <c r="O110">
        <v>15000</v>
      </c>
      <c r="P110">
        <v>0</v>
      </c>
      <c r="Q110">
        <v>1500</v>
      </c>
      <c r="R110">
        <v>3000</v>
      </c>
      <c r="S110">
        <v>2000</v>
      </c>
      <c r="U110">
        <v>32525</v>
      </c>
      <c r="V110" s="11">
        <f t="shared" si="1"/>
        <v>32525</v>
      </c>
      <c r="W110">
        <v>0</v>
      </c>
      <c r="X110" t="s">
        <v>54</v>
      </c>
      <c r="Y110" s="1" t="s">
        <v>31</v>
      </c>
    </row>
    <row r="111" spans="1:25">
      <c r="A111" t="s">
        <v>400</v>
      </c>
      <c r="B111" t="s">
        <v>401</v>
      </c>
      <c r="C111">
        <v>4121</v>
      </c>
      <c r="D111" t="s">
        <v>402</v>
      </c>
      <c r="E111" t="s">
        <v>115</v>
      </c>
      <c r="G111" s="1" t="s">
        <v>35</v>
      </c>
      <c r="H111" s="1">
        <v>40</v>
      </c>
      <c r="I111" s="1">
        <v>5</v>
      </c>
      <c r="J111" s="8">
        <v>0</v>
      </c>
      <c r="K111">
        <v>0</v>
      </c>
      <c r="L111" s="8">
        <v>0</v>
      </c>
      <c r="M111">
        <v>2000</v>
      </c>
      <c r="N111">
        <v>6000</v>
      </c>
      <c r="O111">
        <v>12000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20000</v>
      </c>
      <c r="V111" s="11">
        <f t="shared" si="1"/>
        <v>20000</v>
      </c>
      <c r="W111">
        <v>0</v>
      </c>
      <c r="X111" t="s">
        <v>42</v>
      </c>
      <c r="Y111" s="1" t="s">
        <v>31</v>
      </c>
    </row>
    <row r="112" spans="1:25">
      <c r="A112" t="s">
        <v>403</v>
      </c>
      <c r="B112" t="s">
        <v>404</v>
      </c>
      <c r="C112">
        <v>11299</v>
      </c>
      <c r="D112" t="s">
        <v>405</v>
      </c>
      <c r="E112" t="s">
        <v>50</v>
      </c>
      <c r="G112" s="1" t="s">
        <v>29</v>
      </c>
      <c r="H112" s="1">
        <v>60</v>
      </c>
      <c r="I112" s="1">
        <v>6</v>
      </c>
      <c r="J112">
        <v>1</v>
      </c>
      <c r="K112">
        <v>0</v>
      </c>
      <c r="L112" s="9">
        <v>500</v>
      </c>
      <c r="M112" s="9">
        <v>0</v>
      </c>
      <c r="N112" s="9">
        <v>500</v>
      </c>
      <c r="O112">
        <v>2000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3000</v>
      </c>
      <c r="V112" s="11">
        <f t="shared" si="1"/>
        <v>3000</v>
      </c>
      <c r="W112">
        <v>0</v>
      </c>
      <c r="X112" t="s">
        <v>54</v>
      </c>
      <c r="Y112" s="1" t="s">
        <v>31</v>
      </c>
    </row>
    <row r="113" spans="1:25">
      <c r="A113" t="s">
        <v>406</v>
      </c>
      <c r="B113" t="s">
        <v>407</v>
      </c>
      <c r="C113">
        <v>4961</v>
      </c>
      <c r="D113" t="s">
        <v>408</v>
      </c>
      <c r="E113" t="s">
        <v>409</v>
      </c>
      <c r="F113" t="s">
        <v>410</v>
      </c>
      <c r="G113" s="1" t="s">
        <v>29</v>
      </c>
      <c r="H113" s="1">
        <v>40</v>
      </c>
      <c r="I113" s="1">
        <v>4</v>
      </c>
      <c r="J113">
        <v>1</v>
      </c>
      <c r="K113">
        <v>0</v>
      </c>
      <c r="L113" s="7">
        <v>5000</v>
      </c>
      <c r="M113">
        <v>0</v>
      </c>
      <c r="N113">
        <v>0</v>
      </c>
      <c r="O113" s="7">
        <v>12000</v>
      </c>
      <c r="P113">
        <v>0</v>
      </c>
      <c r="Q113">
        <v>3000</v>
      </c>
      <c r="R113">
        <v>0</v>
      </c>
      <c r="S113">
        <v>3000</v>
      </c>
      <c r="T113">
        <v>0</v>
      </c>
      <c r="U113">
        <v>23000</v>
      </c>
      <c r="V113" s="11">
        <f t="shared" si="1"/>
        <v>23000</v>
      </c>
      <c r="W113">
        <v>0</v>
      </c>
      <c r="X113" t="s">
        <v>42</v>
      </c>
      <c r="Y113" s="1" t="s">
        <v>116</v>
      </c>
    </row>
    <row r="114" spans="1:25">
      <c r="A114" t="s">
        <v>411</v>
      </c>
      <c r="B114" t="s">
        <v>412</v>
      </c>
      <c r="C114">
        <v>5530</v>
      </c>
      <c r="D114" t="s">
        <v>413</v>
      </c>
      <c r="E114" t="s">
        <v>28</v>
      </c>
      <c r="G114" s="1" t="s">
        <v>35</v>
      </c>
      <c r="H114" s="1">
        <v>62</v>
      </c>
      <c r="I114" s="1">
        <v>6</v>
      </c>
      <c r="J114" s="8">
        <v>0</v>
      </c>
      <c r="K114">
        <v>100</v>
      </c>
      <c r="L114" s="8">
        <v>0</v>
      </c>
      <c r="M114">
        <v>100</v>
      </c>
      <c r="N114">
        <v>0</v>
      </c>
      <c r="O114">
        <v>500</v>
      </c>
      <c r="P114">
        <v>0</v>
      </c>
      <c r="Q114">
        <v>800</v>
      </c>
      <c r="R114">
        <v>0</v>
      </c>
      <c r="S114">
        <v>0</v>
      </c>
      <c r="T114">
        <v>0</v>
      </c>
      <c r="U114">
        <v>1500</v>
      </c>
      <c r="V114" s="11">
        <f t="shared" si="1"/>
        <v>1500</v>
      </c>
      <c r="W114">
        <v>0</v>
      </c>
      <c r="X114" t="s">
        <v>372</v>
      </c>
      <c r="Y114" s="1" t="s">
        <v>116</v>
      </c>
    </row>
    <row r="115" spans="1:25">
      <c r="A115" t="s">
        <v>411</v>
      </c>
      <c r="B115" t="s">
        <v>412</v>
      </c>
      <c r="C115">
        <v>5530</v>
      </c>
      <c r="D115" t="s">
        <v>414</v>
      </c>
      <c r="E115" t="s">
        <v>62</v>
      </c>
      <c r="G115" s="1" t="s">
        <v>35</v>
      </c>
      <c r="H115" s="1">
        <v>62</v>
      </c>
      <c r="I115" s="1">
        <v>6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11">
        <f t="shared" si="1"/>
        <v>0</v>
      </c>
      <c r="W115">
        <v>0</v>
      </c>
      <c r="X115" t="s">
        <v>415</v>
      </c>
      <c r="Y115" s="1" t="s">
        <v>116</v>
      </c>
    </row>
    <row r="116" spans="1:25">
      <c r="A116" t="s">
        <v>411</v>
      </c>
      <c r="B116" t="s">
        <v>412</v>
      </c>
      <c r="C116">
        <v>5530</v>
      </c>
      <c r="D116" t="s">
        <v>416</v>
      </c>
      <c r="E116" t="s">
        <v>299</v>
      </c>
      <c r="F116" t="s">
        <v>417</v>
      </c>
      <c r="G116" s="1" t="s">
        <v>35</v>
      </c>
      <c r="H116" s="1">
        <v>62</v>
      </c>
      <c r="I116" s="1">
        <v>4</v>
      </c>
      <c r="J116" s="8">
        <v>0</v>
      </c>
      <c r="K116">
        <v>400</v>
      </c>
      <c r="L116" s="8">
        <v>0</v>
      </c>
      <c r="M116">
        <v>100</v>
      </c>
      <c r="N116">
        <v>0</v>
      </c>
      <c r="O116">
        <v>500</v>
      </c>
      <c r="P116">
        <v>1600</v>
      </c>
      <c r="Q116">
        <v>1600</v>
      </c>
      <c r="R116">
        <v>0</v>
      </c>
      <c r="S116">
        <v>0</v>
      </c>
      <c r="T116">
        <v>0</v>
      </c>
      <c r="U116">
        <v>4200</v>
      </c>
      <c r="V116" s="11">
        <f t="shared" si="1"/>
        <v>4200</v>
      </c>
      <c r="W116">
        <v>0</v>
      </c>
      <c r="X116" t="s">
        <v>282</v>
      </c>
      <c r="Y116" s="1" t="s">
        <v>116</v>
      </c>
    </row>
    <row r="117" spans="1:25">
      <c r="A117" t="s">
        <v>418</v>
      </c>
      <c r="B117" t="s">
        <v>419</v>
      </c>
      <c r="C117">
        <v>5169</v>
      </c>
      <c r="D117" t="s">
        <v>420</v>
      </c>
      <c r="E117" t="s">
        <v>90</v>
      </c>
      <c r="G117" s="1" t="s">
        <v>29</v>
      </c>
      <c r="H117" s="1">
        <v>44</v>
      </c>
      <c r="I117" s="1">
        <v>5</v>
      </c>
      <c r="J117">
        <v>2</v>
      </c>
      <c r="K117">
        <v>0</v>
      </c>
      <c r="L117" s="7">
        <v>5000</v>
      </c>
      <c r="M117" s="7">
        <v>4000</v>
      </c>
      <c r="N117" s="7">
        <v>6000</v>
      </c>
      <c r="O117" s="7">
        <v>80000</v>
      </c>
      <c r="P117">
        <v>0</v>
      </c>
      <c r="Q117">
        <v>4000</v>
      </c>
      <c r="R117">
        <v>5000</v>
      </c>
      <c r="S117">
        <v>6000</v>
      </c>
      <c r="T117">
        <v>0</v>
      </c>
      <c r="U117">
        <v>110000</v>
      </c>
      <c r="V117" s="11">
        <f t="shared" si="1"/>
        <v>110000</v>
      </c>
      <c r="W117">
        <v>0</v>
      </c>
      <c r="X117" t="s">
        <v>42</v>
      </c>
      <c r="Y117" s="1" t="s">
        <v>116</v>
      </c>
    </row>
    <row r="118" spans="1:25">
      <c r="A118" t="s">
        <v>421</v>
      </c>
      <c r="B118" t="s">
        <v>422</v>
      </c>
      <c r="C118">
        <v>4508</v>
      </c>
      <c r="D118" t="s">
        <v>423</v>
      </c>
      <c r="E118" t="s">
        <v>62</v>
      </c>
      <c r="G118" s="1" t="s">
        <v>35</v>
      </c>
      <c r="H118" s="1">
        <v>48</v>
      </c>
      <c r="I118" s="1">
        <v>4</v>
      </c>
      <c r="J118">
        <v>1</v>
      </c>
      <c r="K118">
        <v>0</v>
      </c>
      <c r="L118">
        <v>2000</v>
      </c>
      <c r="M118">
        <v>50000</v>
      </c>
      <c r="N118">
        <v>20000</v>
      </c>
      <c r="O118">
        <v>300000</v>
      </c>
      <c r="P118">
        <v>35000</v>
      </c>
      <c r="Q118">
        <v>3000</v>
      </c>
      <c r="R118">
        <v>40000</v>
      </c>
      <c r="S118">
        <v>0</v>
      </c>
      <c r="T118">
        <v>0</v>
      </c>
      <c r="U118">
        <v>450000</v>
      </c>
      <c r="V118" s="11">
        <f t="shared" si="1"/>
        <v>450000</v>
      </c>
      <c r="W118">
        <v>0</v>
      </c>
      <c r="X118" t="s">
        <v>46</v>
      </c>
      <c r="Y118" s="1" t="s">
        <v>116</v>
      </c>
    </row>
    <row r="119" spans="1:25">
      <c r="A119" t="s">
        <v>424</v>
      </c>
      <c r="B119" t="s">
        <v>425</v>
      </c>
      <c r="C119">
        <v>3972</v>
      </c>
      <c r="D119" t="s">
        <v>426</v>
      </c>
      <c r="E119" t="s">
        <v>427</v>
      </c>
      <c r="F119" t="s">
        <v>428</v>
      </c>
      <c r="G119" s="1" t="s">
        <v>29</v>
      </c>
      <c r="H119" s="1">
        <v>48</v>
      </c>
      <c r="I119" s="1">
        <v>4</v>
      </c>
      <c r="J119">
        <v>1</v>
      </c>
      <c r="K119">
        <v>2500</v>
      </c>
      <c r="L119">
        <v>5000</v>
      </c>
      <c r="M119">
        <v>5000</v>
      </c>
      <c r="N119">
        <v>2500</v>
      </c>
      <c r="O119">
        <v>5000</v>
      </c>
      <c r="P119">
        <v>0</v>
      </c>
      <c r="Q119">
        <v>2000</v>
      </c>
      <c r="R119">
        <v>3000</v>
      </c>
      <c r="S119">
        <v>0</v>
      </c>
      <c r="T119">
        <v>0</v>
      </c>
      <c r="U119">
        <v>25000</v>
      </c>
      <c r="V119" s="11">
        <f t="shared" si="1"/>
        <v>25000</v>
      </c>
      <c r="W119">
        <v>0</v>
      </c>
      <c r="X119" t="s">
        <v>46</v>
      </c>
      <c r="Y119" s="1" t="s">
        <v>116</v>
      </c>
    </row>
    <row r="120" spans="1:25">
      <c r="A120" t="s">
        <v>429</v>
      </c>
      <c r="B120" t="s">
        <v>430</v>
      </c>
      <c r="C120">
        <v>4070</v>
      </c>
      <c r="D120" t="s">
        <v>431</v>
      </c>
      <c r="E120" t="s">
        <v>62</v>
      </c>
      <c r="G120" s="1" t="s">
        <v>29</v>
      </c>
      <c r="H120" s="1">
        <v>57</v>
      </c>
      <c r="I120" s="1">
        <v>4</v>
      </c>
      <c r="J120">
        <v>1</v>
      </c>
      <c r="K120">
        <v>0</v>
      </c>
      <c r="L120">
        <v>5000</v>
      </c>
      <c r="M120">
        <v>3500</v>
      </c>
      <c r="N120">
        <v>0</v>
      </c>
      <c r="O120">
        <v>10000</v>
      </c>
      <c r="P120">
        <v>0</v>
      </c>
      <c r="Q120">
        <v>4000</v>
      </c>
      <c r="R120">
        <v>1500</v>
      </c>
      <c r="S120">
        <v>0</v>
      </c>
      <c r="T120">
        <v>0</v>
      </c>
      <c r="U120">
        <v>24000</v>
      </c>
      <c r="V120" s="11">
        <f t="shared" si="1"/>
        <v>24000</v>
      </c>
      <c r="W120">
        <v>0</v>
      </c>
      <c r="X120" t="s">
        <v>197</v>
      </c>
      <c r="Y120" s="1" t="s">
        <v>116</v>
      </c>
    </row>
    <row r="121" spans="1:25">
      <c r="A121" t="s">
        <v>432</v>
      </c>
      <c r="B121" t="s">
        <v>433</v>
      </c>
      <c r="C121">
        <v>2652</v>
      </c>
      <c r="D121" t="s">
        <v>434</v>
      </c>
      <c r="E121" t="s">
        <v>50</v>
      </c>
      <c r="G121" s="1" t="s">
        <v>35</v>
      </c>
      <c r="H121" s="1">
        <v>70</v>
      </c>
      <c r="I121" s="1">
        <v>5</v>
      </c>
      <c r="J121">
        <v>2</v>
      </c>
      <c r="K121">
        <v>5000</v>
      </c>
      <c r="L121" s="9">
        <v>20000</v>
      </c>
      <c r="M121">
        <v>100000</v>
      </c>
      <c r="N121">
        <v>100000</v>
      </c>
      <c r="O121" s="9">
        <v>70000</v>
      </c>
      <c r="P121">
        <v>20000</v>
      </c>
      <c r="Q121">
        <v>5000</v>
      </c>
      <c r="R121">
        <v>5000</v>
      </c>
      <c r="S121" s="9">
        <v>10000</v>
      </c>
      <c r="T121"/>
      <c r="U121">
        <v>335000</v>
      </c>
      <c r="V121" s="11">
        <f t="shared" si="1"/>
        <v>335000</v>
      </c>
      <c r="W121">
        <v>0</v>
      </c>
      <c r="X121" t="s">
        <v>435</v>
      </c>
      <c r="Y121" s="1" t="s">
        <v>116</v>
      </c>
    </row>
    <row r="122" spans="1:25">
      <c r="A122" t="s">
        <v>436</v>
      </c>
      <c r="B122" t="s">
        <v>437</v>
      </c>
      <c r="C122">
        <v>2248</v>
      </c>
      <c r="D122" t="s">
        <v>438</v>
      </c>
      <c r="E122" t="s">
        <v>150</v>
      </c>
      <c r="G122" s="1" t="s">
        <v>29</v>
      </c>
      <c r="H122" s="1">
        <v>67</v>
      </c>
      <c r="I122" s="1">
        <v>2</v>
      </c>
      <c r="J122">
        <v>1</v>
      </c>
      <c r="K122">
        <v>425</v>
      </c>
      <c r="L122" s="9">
        <v>3000</v>
      </c>
      <c r="M122" s="9">
        <v>4000</v>
      </c>
      <c r="N122" s="9">
        <v>6000</v>
      </c>
      <c r="O122" s="9">
        <v>39000</v>
      </c>
      <c r="P122">
        <v>12000</v>
      </c>
      <c r="Q122">
        <v>0</v>
      </c>
      <c r="R122">
        <v>2500</v>
      </c>
      <c r="S122">
        <v>0</v>
      </c>
      <c r="T122"/>
      <c r="U122">
        <v>66925</v>
      </c>
      <c r="V122" s="11">
        <f t="shared" si="1"/>
        <v>66925</v>
      </c>
      <c r="W122">
        <v>0</v>
      </c>
      <c r="X122" t="s">
        <v>227</v>
      </c>
      <c r="Y122" s="1" t="s">
        <v>116</v>
      </c>
    </row>
    <row r="123" spans="1:25">
      <c r="A123" t="s">
        <v>439</v>
      </c>
      <c r="B123" t="s">
        <v>440</v>
      </c>
      <c r="C123">
        <v>2257</v>
      </c>
      <c r="D123" t="s">
        <v>441</v>
      </c>
      <c r="E123" t="s">
        <v>115</v>
      </c>
      <c r="G123" s="1" t="s">
        <v>29</v>
      </c>
      <c r="H123" s="1">
        <v>81</v>
      </c>
      <c r="I123" s="1">
        <v>2</v>
      </c>
      <c r="J123">
        <v>1</v>
      </c>
      <c r="K123" s="9">
        <v>1700</v>
      </c>
      <c r="L123" s="7">
        <v>12650</v>
      </c>
      <c r="M123">
        <v>2100</v>
      </c>
      <c r="N123">
        <v>0</v>
      </c>
      <c r="O123" s="7">
        <v>32000</v>
      </c>
      <c r="P123">
        <v>0</v>
      </c>
      <c r="Q123">
        <v>2000</v>
      </c>
      <c r="R123">
        <v>1500</v>
      </c>
      <c r="S123">
        <v>24000</v>
      </c>
      <c r="T123">
        <v>0</v>
      </c>
      <c r="U123">
        <v>75950</v>
      </c>
      <c r="V123" s="11">
        <f t="shared" si="1"/>
        <v>75950</v>
      </c>
      <c r="W123">
        <v>0</v>
      </c>
      <c r="X123" t="s">
        <v>42</v>
      </c>
      <c r="Y123" s="1" t="s">
        <v>116</v>
      </c>
    </row>
    <row r="124" spans="1:25">
      <c r="A124" t="s">
        <v>442</v>
      </c>
      <c r="B124" t="s">
        <v>443</v>
      </c>
      <c r="C124">
        <v>1945</v>
      </c>
      <c r="D124" t="s">
        <v>444</v>
      </c>
      <c r="E124" t="s">
        <v>28</v>
      </c>
      <c r="G124" s="1" t="s">
        <v>29</v>
      </c>
      <c r="H124" s="1">
        <v>67</v>
      </c>
      <c r="I124" s="1">
        <v>2</v>
      </c>
      <c r="J124">
        <v>1</v>
      </c>
      <c r="K124">
        <v>0</v>
      </c>
      <c r="L124">
        <v>1000</v>
      </c>
      <c r="M124">
        <v>20000</v>
      </c>
      <c r="N124">
        <v>12000</v>
      </c>
      <c r="O124">
        <v>15000</v>
      </c>
      <c r="P124">
        <v>16000</v>
      </c>
      <c r="Q124">
        <v>8550</v>
      </c>
      <c r="R124">
        <v>5500</v>
      </c>
      <c r="S124" s="9">
        <v>2000</v>
      </c>
      <c r="T124"/>
      <c r="U124">
        <v>80050</v>
      </c>
      <c r="V124" s="11">
        <f t="shared" si="1"/>
        <v>80050</v>
      </c>
      <c r="W124">
        <v>0</v>
      </c>
      <c r="X124" t="s">
        <v>108</v>
      </c>
      <c r="Y124" s="1" t="s">
        <v>116</v>
      </c>
    </row>
    <row r="125" spans="1:25">
      <c r="A125" t="s">
        <v>445</v>
      </c>
      <c r="B125" t="s">
        <v>446</v>
      </c>
      <c r="C125">
        <v>7814</v>
      </c>
      <c r="D125" t="s">
        <v>447</v>
      </c>
      <c r="E125" t="s">
        <v>40</v>
      </c>
      <c r="G125" s="1" t="s">
        <v>29</v>
      </c>
      <c r="H125" s="1">
        <v>56</v>
      </c>
      <c r="I125" s="1">
        <v>15</v>
      </c>
      <c r="J125">
        <v>1</v>
      </c>
      <c r="K125">
        <v>0</v>
      </c>
      <c r="L125" s="9">
        <v>5000</v>
      </c>
      <c r="M125">
        <v>0</v>
      </c>
      <c r="N125">
        <v>0</v>
      </c>
      <c r="O125" s="9">
        <v>145000</v>
      </c>
      <c r="P125">
        <v>0</v>
      </c>
      <c r="Q125">
        <v>5000</v>
      </c>
      <c r="R125">
        <v>2000</v>
      </c>
      <c r="S125">
        <v>3000</v>
      </c>
      <c r="T125">
        <v>0</v>
      </c>
      <c r="U125">
        <v>160000</v>
      </c>
      <c r="V125" s="11">
        <f t="shared" si="1"/>
        <v>160000</v>
      </c>
      <c r="W125">
        <v>0</v>
      </c>
      <c r="X125" t="s">
        <v>54</v>
      </c>
      <c r="Y125" s="1" t="s">
        <v>116</v>
      </c>
    </row>
    <row r="126" spans="1:25">
      <c r="A126" t="s">
        <v>448</v>
      </c>
      <c r="B126" t="s">
        <v>449</v>
      </c>
      <c r="C126">
        <v>4036</v>
      </c>
      <c r="D126" t="s">
        <v>450</v>
      </c>
      <c r="E126" t="s">
        <v>62</v>
      </c>
      <c r="G126" s="1" t="s">
        <v>29</v>
      </c>
      <c r="H126" s="1">
        <v>65</v>
      </c>
      <c r="I126" s="1">
        <v>12</v>
      </c>
      <c r="J126">
        <v>1</v>
      </c>
      <c r="K126">
        <v>1000</v>
      </c>
      <c r="L126">
        <v>5000</v>
      </c>
      <c r="M126">
        <v>5000</v>
      </c>
      <c r="O126">
        <v>50000</v>
      </c>
      <c r="Q126">
        <v>10000</v>
      </c>
      <c r="R126">
        <v>4000</v>
      </c>
      <c r="S126">
        <v>5000</v>
      </c>
      <c r="T126">
        <v>0</v>
      </c>
      <c r="U126">
        <v>80000</v>
      </c>
      <c r="V126" s="11">
        <f t="shared" si="1"/>
        <v>80000</v>
      </c>
      <c r="W126">
        <v>0</v>
      </c>
      <c r="X126" t="s">
        <v>451</v>
      </c>
      <c r="Y126" s="1" t="s">
        <v>116</v>
      </c>
    </row>
    <row r="127" spans="1:25">
      <c r="A127" t="s">
        <v>452</v>
      </c>
      <c r="B127" t="s">
        <v>453</v>
      </c>
      <c r="C127">
        <v>4456</v>
      </c>
      <c r="D127" t="s">
        <v>454</v>
      </c>
      <c r="E127" t="s">
        <v>28</v>
      </c>
      <c r="G127" s="1" t="s">
        <v>29</v>
      </c>
      <c r="H127" s="1">
        <v>46</v>
      </c>
      <c r="I127" s="1">
        <v>9</v>
      </c>
      <c r="J127">
        <v>2</v>
      </c>
      <c r="K127">
        <v>0</v>
      </c>
      <c r="L127">
        <v>1000</v>
      </c>
      <c r="M127">
        <v>1000</v>
      </c>
      <c r="N127">
        <v>0</v>
      </c>
      <c r="O127">
        <v>5000</v>
      </c>
      <c r="P127">
        <v>0</v>
      </c>
      <c r="Q127">
        <v>2000</v>
      </c>
      <c r="R127">
        <v>1000</v>
      </c>
      <c r="S127">
        <v>0</v>
      </c>
      <c r="T127">
        <v>0</v>
      </c>
      <c r="U127">
        <v>10000</v>
      </c>
      <c r="V127" s="11">
        <f t="shared" si="1"/>
        <v>10000</v>
      </c>
      <c r="W127">
        <v>0</v>
      </c>
      <c r="X127" t="s">
        <v>46</v>
      </c>
      <c r="Y127" s="1" t="s">
        <v>116</v>
      </c>
    </row>
    <row r="128" spans="1:25">
      <c r="A128" t="s">
        <v>455</v>
      </c>
      <c r="B128" t="s">
        <v>456</v>
      </c>
      <c r="C128">
        <v>11163</v>
      </c>
      <c r="D128" t="s">
        <v>457</v>
      </c>
      <c r="E128" t="s">
        <v>66</v>
      </c>
      <c r="G128" s="1" t="s">
        <v>35</v>
      </c>
      <c r="H128" s="1">
        <v>56</v>
      </c>
      <c r="I128" s="1">
        <v>12</v>
      </c>
      <c r="J128">
        <v>3</v>
      </c>
      <c r="K128">
        <v>4000</v>
      </c>
      <c r="L128" s="7">
        <v>10000</v>
      </c>
      <c r="M128">
        <v>30000</v>
      </c>
      <c r="N128">
        <v>25000</v>
      </c>
      <c r="O128" s="9">
        <v>132000</v>
      </c>
      <c r="P128">
        <v>2000</v>
      </c>
      <c r="Q128">
        <v>12000</v>
      </c>
      <c r="R128">
        <v>5000</v>
      </c>
      <c r="S128">
        <v>5000</v>
      </c>
      <c r="T128" s="9">
        <v>0</v>
      </c>
      <c r="U128">
        <v>225000</v>
      </c>
      <c r="V128" s="11">
        <f t="shared" si="1"/>
        <v>225000</v>
      </c>
      <c r="W128">
        <v>0</v>
      </c>
      <c r="X128" t="s">
        <v>197</v>
      </c>
      <c r="Y128" s="1" t="s">
        <v>116</v>
      </c>
    </row>
    <row r="129" spans="1:25">
      <c r="A129" t="s">
        <v>458</v>
      </c>
      <c r="B129" t="s">
        <v>459</v>
      </c>
      <c r="C129">
        <v>11164</v>
      </c>
      <c r="D129" t="s">
        <v>460</v>
      </c>
      <c r="E129" t="s">
        <v>62</v>
      </c>
      <c r="G129" s="1" t="s">
        <v>29</v>
      </c>
      <c r="H129" s="1">
        <v>55</v>
      </c>
      <c r="I129" s="1">
        <v>12</v>
      </c>
      <c r="J129">
        <v>2</v>
      </c>
      <c r="K129">
        <v>3000</v>
      </c>
      <c r="L129">
        <v>9500</v>
      </c>
      <c r="M129">
        <v>10000</v>
      </c>
      <c r="N129">
        <v>3000</v>
      </c>
      <c r="O129" s="9">
        <v>100000</v>
      </c>
      <c r="P129">
        <v>3000</v>
      </c>
      <c r="Q129">
        <v>10000</v>
      </c>
      <c r="R129">
        <v>8000</v>
      </c>
      <c r="S129">
        <v>5000</v>
      </c>
      <c r="T129" s="9">
        <v>0</v>
      </c>
      <c r="U129">
        <v>151500</v>
      </c>
      <c r="V129" s="11">
        <f t="shared" si="1"/>
        <v>151500</v>
      </c>
      <c r="W129">
        <v>0</v>
      </c>
      <c r="X129" t="s">
        <v>197</v>
      </c>
      <c r="Y129" s="1" t="s">
        <v>116</v>
      </c>
    </row>
    <row r="130" spans="1:25">
      <c r="A130" t="s">
        <v>461</v>
      </c>
      <c r="B130" t="s">
        <v>462</v>
      </c>
      <c r="C130">
        <v>1903</v>
      </c>
      <c r="D130" t="s">
        <v>463</v>
      </c>
      <c r="E130" t="s">
        <v>28</v>
      </c>
      <c r="G130" s="1" t="s">
        <v>35</v>
      </c>
      <c r="H130" s="1">
        <v>50</v>
      </c>
      <c r="I130" s="1">
        <v>12</v>
      </c>
      <c r="J130">
        <v>1</v>
      </c>
      <c r="K130">
        <v>6000</v>
      </c>
      <c r="L130" s="7">
        <v>5000</v>
      </c>
      <c r="M130" s="9">
        <v>5000</v>
      </c>
      <c r="N130">
        <v>2000</v>
      </c>
      <c r="O130" s="7">
        <v>25000</v>
      </c>
      <c r="P130">
        <v>0</v>
      </c>
      <c r="Q130">
        <v>8000</v>
      </c>
      <c r="R130">
        <v>5000</v>
      </c>
      <c r="S130">
        <v>5000</v>
      </c>
      <c r="T130" s="9">
        <v>0</v>
      </c>
      <c r="U130">
        <v>61000</v>
      </c>
      <c r="V130" s="11">
        <f t="shared" si="1"/>
        <v>61000</v>
      </c>
      <c r="W130">
        <v>0</v>
      </c>
      <c r="X130" t="s">
        <v>54</v>
      </c>
      <c r="Y130" s="1" t="s">
        <v>116</v>
      </c>
    </row>
    <row r="131" spans="1:25">
      <c r="A131" t="s">
        <v>464</v>
      </c>
      <c r="B131" t="s">
        <v>465</v>
      </c>
      <c r="C131">
        <v>11499</v>
      </c>
      <c r="D131" t="s">
        <v>466</v>
      </c>
      <c r="E131" t="s">
        <v>467</v>
      </c>
      <c r="F131" t="s">
        <v>468</v>
      </c>
      <c r="G131" s="1" t="s">
        <v>35</v>
      </c>
      <c r="H131" s="1">
        <v>61</v>
      </c>
      <c r="I131" s="1">
        <v>2</v>
      </c>
      <c r="J131">
        <v>1</v>
      </c>
      <c r="K131">
        <v>1000</v>
      </c>
      <c r="L131">
        <v>100</v>
      </c>
      <c r="M131">
        <v>15000</v>
      </c>
      <c r="N131">
        <v>10000</v>
      </c>
      <c r="O131">
        <v>50000</v>
      </c>
      <c r="P131">
        <v>30000</v>
      </c>
      <c r="Q131">
        <v>5000</v>
      </c>
      <c r="R131">
        <v>10000</v>
      </c>
      <c r="S131">
        <v>10000</v>
      </c>
      <c r="T131">
        <v>0</v>
      </c>
      <c r="U131">
        <v>131100</v>
      </c>
      <c r="V131" s="11">
        <f t="shared" ref="V131:V194" si="2">(K131+L131+M131+N131+O131+P131+Q131+R131+S131+T131)</f>
        <v>131100</v>
      </c>
      <c r="W131">
        <v>0</v>
      </c>
      <c r="X131" t="s">
        <v>46</v>
      </c>
      <c r="Y131" s="1" t="s">
        <v>116</v>
      </c>
    </row>
    <row r="132" spans="1:25">
      <c r="A132" t="s">
        <v>469</v>
      </c>
      <c r="B132" t="s">
        <v>470</v>
      </c>
      <c r="C132">
        <v>11502</v>
      </c>
      <c r="D132" t="s">
        <v>471</v>
      </c>
      <c r="E132" t="s">
        <v>28</v>
      </c>
      <c r="G132" s="1" t="s">
        <v>35</v>
      </c>
      <c r="H132" s="1">
        <v>68</v>
      </c>
      <c r="I132" s="1">
        <v>0</v>
      </c>
      <c r="J132">
        <v>1</v>
      </c>
      <c r="K132">
        <v>500</v>
      </c>
      <c r="L132" s="9">
        <v>1000</v>
      </c>
      <c r="M132">
        <v>0</v>
      </c>
      <c r="N132">
        <v>10000</v>
      </c>
      <c r="O132">
        <v>15000</v>
      </c>
      <c r="P132">
        <v>5000</v>
      </c>
      <c r="Q132">
        <v>5000</v>
      </c>
      <c r="R132">
        <v>4000</v>
      </c>
      <c r="S132">
        <v>0</v>
      </c>
      <c r="U132">
        <v>40500</v>
      </c>
      <c r="V132" s="11">
        <f t="shared" si="2"/>
        <v>40500</v>
      </c>
      <c r="W132">
        <v>0</v>
      </c>
      <c r="X132" t="s">
        <v>54</v>
      </c>
      <c r="Y132" s="1" t="s">
        <v>116</v>
      </c>
    </row>
    <row r="133" spans="1:25">
      <c r="A133" t="s">
        <v>472</v>
      </c>
      <c r="B133" t="s">
        <v>473</v>
      </c>
      <c r="C133">
        <v>4108</v>
      </c>
      <c r="D133" t="s">
        <v>474</v>
      </c>
      <c r="E133" t="s">
        <v>163</v>
      </c>
      <c r="F133" t="s">
        <v>475</v>
      </c>
      <c r="G133" s="1" t="s">
        <v>29</v>
      </c>
      <c r="H133" s="1">
        <v>40</v>
      </c>
      <c r="I133" s="1">
        <v>4</v>
      </c>
      <c r="J133">
        <v>2</v>
      </c>
      <c r="K133">
        <v>0</v>
      </c>
      <c r="L133" s="9">
        <v>1500</v>
      </c>
      <c r="M133">
        <v>0</v>
      </c>
      <c r="N133">
        <v>12000</v>
      </c>
      <c r="O133">
        <v>6000</v>
      </c>
      <c r="P133">
        <v>0</v>
      </c>
      <c r="Q133">
        <v>1200</v>
      </c>
      <c r="R133">
        <v>5000</v>
      </c>
      <c r="S133" s="9">
        <v>3500</v>
      </c>
      <c r="T133">
        <v>0</v>
      </c>
      <c r="U133">
        <v>29200</v>
      </c>
      <c r="V133" s="11">
        <f t="shared" si="2"/>
        <v>29200</v>
      </c>
      <c r="W133">
        <v>0</v>
      </c>
      <c r="X133" t="s">
        <v>197</v>
      </c>
      <c r="Y133" s="1" t="s">
        <v>116</v>
      </c>
    </row>
    <row r="134" spans="1:25">
      <c r="A134" t="s">
        <v>476</v>
      </c>
      <c r="B134" t="s">
        <v>477</v>
      </c>
      <c r="C134">
        <v>14224</v>
      </c>
      <c r="D134" t="s">
        <v>478</v>
      </c>
      <c r="E134" t="s">
        <v>163</v>
      </c>
      <c r="F134" t="s">
        <v>479</v>
      </c>
      <c r="G134" s="1" t="s">
        <v>35</v>
      </c>
      <c r="H134" s="1">
        <v>75</v>
      </c>
      <c r="I134" s="1">
        <v>3</v>
      </c>
      <c r="J134">
        <v>1</v>
      </c>
      <c r="K134">
        <v>0</v>
      </c>
      <c r="L134" s="9">
        <v>4000</v>
      </c>
      <c r="M134" s="9">
        <v>6000</v>
      </c>
      <c r="N134" s="9">
        <v>5000</v>
      </c>
      <c r="O134" s="9">
        <v>235000</v>
      </c>
      <c r="P134">
        <v>0</v>
      </c>
      <c r="Q134">
        <v>3000</v>
      </c>
      <c r="R134">
        <v>0</v>
      </c>
      <c r="S134">
        <v>0</v>
      </c>
      <c r="T134">
        <v>0</v>
      </c>
      <c r="U134">
        <v>253000</v>
      </c>
      <c r="V134" s="11">
        <f t="shared" si="2"/>
        <v>253000</v>
      </c>
      <c r="W134">
        <v>0</v>
      </c>
      <c r="X134" t="s">
        <v>46</v>
      </c>
      <c r="Y134" s="1" t="s">
        <v>263</v>
      </c>
    </row>
    <row r="135" spans="1:25">
      <c r="A135" t="s">
        <v>480</v>
      </c>
      <c r="B135" t="s">
        <v>481</v>
      </c>
      <c r="C135">
        <v>13688</v>
      </c>
      <c r="D135" t="s">
        <v>482</v>
      </c>
      <c r="E135" t="s">
        <v>28</v>
      </c>
      <c r="G135" s="1" t="s">
        <v>35</v>
      </c>
      <c r="H135" s="1">
        <v>60</v>
      </c>
      <c r="I135" s="1">
        <v>12</v>
      </c>
      <c r="J135">
        <v>2</v>
      </c>
      <c r="L135" s="9">
        <v>8000</v>
      </c>
      <c r="M135" s="9">
        <v>6000</v>
      </c>
      <c r="N135" s="9">
        <v>8000</v>
      </c>
      <c r="O135" s="9">
        <v>85000</v>
      </c>
      <c r="P135" s="9"/>
      <c r="Q135" s="9">
        <v>20000</v>
      </c>
      <c r="R135" s="9">
        <v>8000</v>
      </c>
      <c r="S135" s="9">
        <v>5000</v>
      </c>
      <c r="U135">
        <v>140000</v>
      </c>
      <c r="V135" s="11">
        <f t="shared" si="2"/>
        <v>140000</v>
      </c>
      <c r="W135">
        <v>0</v>
      </c>
      <c r="X135" t="s">
        <v>46</v>
      </c>
      <c r="Y135" s="1" t="s">
        <v>263</v>
      </c>
    </row>
    <row r="136" spans="1:25">
      <c r="A136" t="s">
        <v>483</v>
      </c>
      <c r="B136" t="s">
        <v>484</v>
      </c>
      <c r="C136">
        <v>13689</v>
      </c>
      <c r="D136" t="s">
        <v>485</v>
      </c>
      <c r="E136" t="s">
        <v>163</v>
      </c>
      <c r="G136" s="1" t="s">
        <v>29</v>
      </c>
      <c r="H136" s="1">
        <v>80</v>
      </c>
      <c r="I136" s="1">
        <v>3</v>
      </c>
      <c r="J136">
        <v>2</v>
      </c>
      <c r="L136" s="9">
        <v>20000</v>
      </c>
      <c r="M136" s="9">
        <v>10000</v>
      </c>
      <c r="N136" s="9">
        <v>10000</v>
      </c>
      <c r="O136" s="9">
        <v>160000</v>
      </c>
      <c r="U136">
        <v>200000</v>
      </c>
      <c r="V136" s="11">
        <f t="shared" si="2"/>
        <v>200000</v>
      </c>
      <c r="W136">
        <v>0</v>
      </c>
      <c r="X136" t="s">
        <v>193</v>
      </c>
      <c r="Y136" s="1" t="s">
        <v>263</v>
      </c>
    </row>
    <row r="137" spans="1:25">
      <c r="A137" t="s">
        <v>486</v>
      </c>
      <c r="B137" t="s">
        <v>487</v>
      </c>
      <c r="C137">
        <v>4881</v>
      </c>
      <c r="D137" t="s">
        <v>488</v>
      </c>
      <c r="E137" t="s">
        <v>28</v>
      </c>
      <c r="G137" s="1" t="s">
        <v>29</v>
      </c>
      <c r="H137" s="1">
        <v>50</v>
      </c>
      <c r="I137" s="1">
        <v>5</v>
      </c>
      <c r="J137">
        <v>1</v>
      </c>
      <c r="L137" s="9">
        <v>1000</v>
      </c>
      <c r="M137" s="9"/>
      <c r="N137" s="9"/>
      <c r="O137" s="9">
        <v>9000</v>
      </c>
      <c r="U137">
        <v>10000</v>
      </c>
      <c r="V137" s="11">
        <f t="shared" si="2"/>
        <v>10000</v>
      </c>
      <c r="W137">
        <v>0</v>
      </c>
      <c r="X137" t="s">
        <v>42</v>
      </c>
      <c r="Y137" s="1" t="s">
        <v>263</v>
      </c>
    </row>
    <row r="138" spans="1:25">
      <c r="A138" t="s">
        <v>489</v>
      </c>
      <c r="B138" t="s">
        <v>490</v>
      </c>
      <c r="C138">
        <v>10577</v>
      </c>
      <c r="D138" t="s">
        <v>491</v>
      </c>
      <c r="E138" t="s">
        <v>28</v>
      </c>
      <c r="G138" s="1" t="s">
        <v>35</v>
      </c>
      <c r="H138" s="1">
        <v>77</v>
      </c>
      <c r="I138" s="1">
        <v>0</v>
      </c>
      <c r="J138">
        <v>8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11">
        <f t="shared" si="2"/>
        <v>0</v>
      </c>
      <c r="W138">
        <v>0</v>
      </c>
      <c r="X138" t="s">
        <v>492</v>
      </c>
      <c r="Y138" s="1" t="s">
        <v>263</v>
      </c>
    </row>
    <row r="139" spans="1:25">
      <c r="A139" t="s">
        <v>493</v>
      </c>
      <c r="B139" t="s">
        <v>494</v>
      </c>
      <c r="C139">
        <v>11455</v>
      </c>
      <c r="D139" t="s">
        <v>495</v>
      </c>
      <c r="E139" t="s">
        <v>66</v>
      </c>
      <c r="G139" s="1" t="s">
        <v>29</v>
      </c>
      <c r="H139" s="1">
        <v>53</v>
      </c>
      <c r="I139" s="1">
        <v>12</v>
      </c>
      <c r="J139">
        <v>1</v>
      </c>
      <c r="L139">
        <v>2000</v>
      </c>
      <c r="M139">
        <v>10000</v>
      </c>
      <c r="N139">
        <v>8000</v>
      </c>
      <c r="O139">
        <v>30000</v>
      </c>
      <c r="U139">
        <v>50000</v>
      </c>
      <c r="V139" s="11">
        <f t="shared" si="2"/>
        <v>50000</v>
      </c>
      <c r="W139">
        <v>0</v>
      </c>
      <c r="X139" t="s">
        <v>42</v>
      </c>
      <c r="Y139" s="1" t="s">
        <v>263</v>
      </c>
    </row>
    <row r="140" spans="1:25">
      <c r="A140" t="s">
        <v>496</v>
      </c>
      <c r="B140" t="s">
        <v>497</v>
      </c>
      <c r="C140">
        <v>3605</v>
      </c>
      <c r="D140" t="s">
        <v>498</v>
      </c>
      <c r="E140" t="s">
        <v>100</v>
      </c>
      <c r="G140" s="1" t="s">
        <v>29</v>
      </c>
      <c r="H140" s="1">
        <v>39</v>
      </c>
      <c r="I140" s="1">
        <v>3</v>
      </c>
      <c r="J140">
        <v>8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11">
        <f t="shared" si="2"/>
        <v>0</v>
      </c>
      <c r="W140">
        <v>0</v>
      </c>
      <c r="X140" t="s">
        <v>42</v>
      </c>
      <c r="Y140" s="1" t="s">
        <v>263</v>
      </c>
    </row>
    <row r="141" spans="1:25">
      <c r="A141" t="s">
        <v>499</v>
      </c>
      <c r="B141" t="s">
        <v>500</v>
      </c>
      <c r="C141">
        <v>10304</v>
      </c>
      <c r="D141" t="s">
        <v>501</v>
      </c>
      <c r="E141" t="s">
        <v>90</v>
      </c>
      <c r="G141" s="1" t="s">
        <v>29</v>
      </c>
      <c r="H141" s="1">
        <v>29</v>
      </c>
      <c r="I141" s="1">
        <v>10</v>
      </c>
      <c r="J141">
        <v>1</v>
      </c>
      <c r="L141" s="9">
        <v>4000</v>
      </c>
      <c r="M141" s="9">
        <v>7000</v>
      </c>
      <c r="N141" s="9">
        <v>8000</v>
      </c>
      <c r="O141" s="9">
        <v>40000</v>
      </c>
      <c r="P141" s="9"/>
      <c r="Q141" s="9"/>
      <c r="R141" s="9">
        <v>1000</v>
      </c>
      <c r="U141">
        <v>60000</v>
      </c>
      <c r="V141" s="11">
        <f t="shared" si="2"/>
        <v>60000</v>
      </c>
      <c r="W141">
        <v>0</v>
      </c>
      <c r="X141" t="s">
        <v>42</v>
      </c>
      <c r="Y141" s="1" t="s">
        <v>263</v>
      </c>
    </row>
    <row r="142" spans="1:25">
      <c r="A142" t="s">
        <v>502</v>
      </c>
      <c r="B142" t="s">
        <v>503</v>
      </c>
      <c r="C142">
        <v>13692</v>
      </c>
      <c r="D142" t="s">
        <v>504</v>
      </c>
      <c r="E142" t="s">
        <v>163</v>
      </c>
      <c r="F142" t="s">
        <v>505</v>
      </c>
      <c r="G142" s="1" t="s">
        <v>35</v>
      </c>
      <c r="H142" s="1">
        <v>6</v>
      </c>
      <c r="I142" s="1">
        <v>3</v>
      </c>
      <c r="J142">
        <v>1</v>
      </c>
      <c r="L142" s="9">
        <v>5000</v>
      </c>
      <c r="M142" s="9">
        <v>7000</v>
      </c>
      <c r="N142" s="9">
        <v>8000</v>
      </c>
      <c r="O142" s="9">
        <v>130000</v>
      </c>
      <c r="U142">
        <v>150000</v>
      </c>
      <c r="V142" s="11">
        <f t="shared" si="2"/>
        <v>150000</v>
      </c>
      <c r="W142">
        <v>0</v>
      </c>
      <c r="X142" t="s">
        <v>184</v>
      </c>
      <c r="Y142" s="1" t="s">
        <v>139</v>
      </c>
    </row>
    <row r="143" spans="1:25">
      <c r="A143" t="s">
        <v>506</v>
      </c>
      <c r="B143" t="s">
        <v>507</v>
      </c>
      <c r="C143">
        <v>3598</v>
      </c>
      <c r="D143" t="s">
        <v>508</v>
      </c>
      <c r="E143" s="8" t="s">
        <v>509</v>
      </c>
      <c r="F143" t="s">
        <v>510</v>
      </c>
      <c r="G143" s="1" t="s">
        <v>35</v>
      </c>
      <c r="H143" s="1">
        <v>7</v>
      </c>
      <c r="I143" s="1">
        <v>7</v>
      </c>
      <c r="J143">
        <v>1</v>
      </c>
      <c r="K143">
        <v>750</v>
      </c>
      <c r="L143" s="9">
        <v>6000</v>
      </c>
      <c r="M143">
        <v>5000</v>
      </c>
      <c r="N143">
        <v>24000</v>
      </c>
      <c r="O143" s="9">
        <v>15000</v>
      </c>
      <c r="P143">
        <v>0</v>
      </c>
      <c r="Q143">
        <v>1000</v>
      </c>
      <c r="U143">
        <v>51750</v>
      </c>
      <c r="V143" s="11">
        <f t="shared" si="2"/>
        <v>51750</v>
      </c>
      <c r="W143">
        <v>0</v>
      </c>
      <c r="X143" t="s">
        <v>511</v>
      </c>
      <c r="Y143" s="1" t="s">
        <v>139</v>
      </c>
    </row>
    <row r="144" spans="1:25">
      <c r="A144" t="s">
        <v>512</v>
      </c>
      <c r="B144" t="s">
        <v>513</v>
      </c>
      <c r="C144">
        <v>11381</v>
      </c>
      <c r="D144" t="s">
        <v>514</v>
      </c>
      <c r="E144" t="s">
        <v>78</v>
      </c>
      <c r="G144" s="1" t="s">
        <v>29</v>
      </c>
      <c r="H144" s="1">
        <v>31</v>
      </c>
      <c r="I144" s="1">
        <v>4</v>
      </c>
      <c r="J144">
        <v>1</v>
      </c>
      <c r="K144">
        <v>0</v>
      </c>
      <c r="L144" s="9">
        <v>2000</v>
      </c>
      <c r="M144" s="9">
        <v>4000</v>
      </c>
      <c r="N144" s="9">
        <v>2000</v>
      </c>
      <c r="O144" s="9">
        <v>7000</v>
      </c>
      <c r="P144" s="9">
        <v>0</v>
      </c>
      <c r="Q144" s="9">
        <v>0</v>
      </c>
      <c r="R144" s="9">
        <v>1000</v>
      </c>
      <c r="S144">
        <v>0</v>
      </c>
      <c r="T144">
        <v>0</v>
      </c>
      <c r="U144">
        <v>16000</v>
      </c>
      <c r="V144" s="11">
        <f t="shared" si="2"/>
        <v>16000</v>
      </c>
      <c r="W144">
        <v>0</v>
      </c>
      <c r="X144" t="s">
        <v>184</v>
      </c>
      <c r="Y144" s="1" t="s">
        <v>139</v>
      </c>
    </row>
    <row r="145" spans="1:25">
      <c r="A145" t="s">
        <v>515</v>
      </c>
      <c r="B145" t="s">
        <v>516</v>
      </c>
      <c r="C145">
        <v>13564</v>
      </c>
      <c r="D145" t="s">
        <v>517</v>
      </c>
      <c r="E145" t="s">
        <v>62</v>
      </c>
      <c r="G145" s="1" t="s">
        <v>29</v>
      </c>
      <c r="H145" s="1">
        <v>51</v>
      </c>
      <c r="I145" s="1">
        <v>12</v>
      </c>
      <c r="J145">
        <v>1</v>
      </c>
      <c r="K145">
        <v>0</v>
      </c>
      <c r="L145" s="9">
        <v>5000</v>
      </c>
      <c r="M145" s="9">
        <v>10000</v>
      </c>
      <c r="N145" s="9">
        <v>5000</v>
      </c>
      <c r="O145" s="9">
        <v>20000</v>
      </c>
      <c r="P145" s="9">
        <v>0</v>
      </c>
      <c r="Q145">
        <v>0</v>
      </c>
      <c r="R145">
        <v>0</v>
      </c>
      <c r="S145">
        <v>0</v>
      </c>
      <c r="T145">
        <v>0</v>
      </c>
      <c r="U145">
        <v>40000</v>
      </c>
      <c r="V145" s="11">
        <f t="shared" si="2"/>
        <v>40000</v>
      </c>
      <c r="W145">
        <v>0</v>
      </c>
      <c r="X145" t="s">
        <v>30</v>
      </c>
      <c r="Y145" s="1" t="s">
        <v>139</v>
      </c>
    </row>
    <row r="146" spans="1:25">
      <c r="A146" t="s">
        <v>518</v>
      </c>
      <c r="B146" t="s">
        <v>519</v>
      </c>
      <c r="C146">
        <v>13560</v>
      </c>
      <c r="D146" t="s">
        <v>520</v>
      </c>
      <c r="E146" t="s">
        <v>150</v>
      </c>
      <c r="G146" s="1" t="s">
        <v>35</v>
      </c>
      <c r="H146" s="1">
        <v>3</v>
      </c>
      <c r="I146" s="1">
        <v>12</v>
      </c>
      <c r="J146">
        <v>1</v>
      </c>
      <c r="K146">
        <v>0</v>
      </c>
      <c r="L146">
        <v>8000</v>
      </c>
      <c r="M146">
        <v>8000</v>
      </c>
      <c r="N146">
        <v>9000</v>
      </c>
      <c r="O146">
        <v>45000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70000</v>
      </c>
      <c r="V146" s="11">
        <f t="shared" si="2"/>
        <v>70000</v>
      </c>
      <c r="W146">
        <v>0</v>
      </c>
      <c r="X146" t="s">
        <v>54</v>
      </c>
      <c r="Y146" s="1" t="s">
        <v>139</v>
      </c>
    </row>
    <row r="147" spans="1:25">
      <c r="A147" t="s">
        <v>521</v>
      </c>
      <c r="B147" t="s">
        <v>522</v>
      </c>
      <c r="C147">
        <v>13513</v>
      </c>
      <c r="D147" t="s">
        <v>523</v>
      </c>
      <c r="E147" t="s">
        <v>150</v>
      </c>
      <c r="G147" s="1" t="s">
        <v>35</v>
      </c>
      <c r="H147" s="1">
        <v>4</v>
      </c>
      <c r="I147" s="1">
        <v>3</v>
      </c>
      <c r="J147">
        <v>2</v>
      </c>
      <c r="K147">
        <v>20</v>
      </c>
      <c r="L147" s="9">
        <v>3000</v>
      </c>
      <c r="M147" s="9">
        <v>2000</v>
      </c>
      <c r="N147" s="9">
        <v>0</v>
      </c>
      <c r="O147" s="9">
        <v>10000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15020</v>
      </c>
      <c r="V147" s="11">
        <f t="shared" si="2"/>
        <v>15020</v>
      </c>
      <c r="W147">
        <v>0</v>
      </c>
      <c r="X147" t="s">
        <v>54</v>
      </c>
      <c r="Y147" s="1" t="s">
        <v>139</v>
      </c>
    </row>
    <row r="148" spans="1:25">
      <c r="A148" t="s">
        <v>524</v>
      </c>
      <c r="B148" t="s">
        <v>525</v>
      </c>
      <c r="C148">
        <v>12307</v>
      </c>
      <c r="D148" t="s">
        <v>526</v>
      </c>
      <c r="E148" t="s">
        <v>188</v>
      </c>
      <c r="G148" s="1" t="s">
        <v>35</v>
      </c>
      <c r="H148" s="1">
        <v>43</v>
      </c>
      <c r="I148" s="1">
        <v>5</v>
      </c>
      <c r="J148">
        <v>1</v>
      </c>
      <c r="K148">
        <v>600</v>
      </c>
      <c r="L148">
        <v>650</v>
      </c>
      <c r="M148">
        <v>10000</v>
      </c>
      <c r="N148">
        <v>15000</v>
      </c>
      <c r="O148">
        <v>50000</v>
      </c>
      <c r="P148">
        <v>1000</v>
      </c>
      <c r="Q148">
        <v>1500</v>
      </c>
      <c r="R148">
        <v>1000</v>
      </c>
      <c r="S148">
        <v>500</v>
      </c>
      <c r="T148">
        <v>0</v>
      </c>
      <c r="U148">
        <v>80250</v>
      </c>
      <c r="V148" s="11">
        <f t="shared" si="2"/>
        <v>80250</v>
      </c>
      <c r="W148">
        <v>0</v>
      </c>
      <c r="X148" t="s">
        <v>42</v>
      </c>
      <c r="Y148" s="1" t="s">
        <v>263</v>
      </c>
    </row>
    <row r="149" spans="1:25">
      <c r="A149" t="s">
        <v>527</v>
      </c>
      <c r="B149" t="s">
        <v>528</v>
      </c>
      <c r="C149">
        <v>12477</v>
      </c>
      <c r="D149" t="s">
        <v>529</v>
      </c>
      <c r="E149" t="s">
        <v>28</v>
      </c>
      <c r="G149" s="1" t="s">
        <v>29</v>
      </c>
      <c r="H149" s="1">
        <v>55</v>
      </c>
      <c r="I149" s="1">
        <v>5</v>
      </c>
      <c r="J149">
        <v>1</v>
      </c>
      <c r="K149" s="8"/>
      <c r="L149" s="8"/>
      <c r="M149" s="8"/>
      <c r="N149" s="8"/>
      <c r="O149" s="8">
        <v>105</v>
      </c>
      <c r="P149" s="8"/>
      <c r="Q149" s="8"/>
      <c r="R149" s="8"/>
      <c r="S149" s="8"/>
      <c r="T149" s="8"/>
      <c r="U149" s="8">
        <v>105</v>
      </c>
      <c r="V149" s="11">
        <f t="shared" si="2"/>
        <v>105</v>
      </c>
      <c r="W149">
        <v>0</v>
      </c>
      <c r="X149" t="s">
        <v>108</v>
      </c>
      <c r="Y149" s="1" t="s">
        <v>263</v>
      </c>
    </row>
    <row r="150" spans="1:25">
      <c r="A150" t="s">
        <v>530</v>
      </c>
      <c r="B150" t="s">
        <v>531</v>
      </c>
      <c r="C150">
        <v>13731</v>
      </c>
      <c r="D150" t="s">
        <v>532</v>
      </c>
      <c r="E150" t="s">
        <v>28</v>
      </c>
      <c r="G150" s="1" t="s">
        <v>35</v>
      </c>
      <c r="H150" s="1">
        <v>68</v>
      </c>
      <c r="I150" s="1">
        <v>4</v>
      </c>
      <c r="J150">
        <v>1</v>
      </c>
      <c r="K150">
        <v>0</v>
      </c>
      <c r="L150" s="9">
        <v>1000</v>
      </c>
      <c r="M150" s="9">
        <v>6000</v>
      </c>
      <c r="N150" s="9">
        <v>5000</v>
      </c>
      <c r="O150" s="9">
        <v>90000</v>
      </c>
      <c r="P150" s="9">
        <v>0</v>
      </c>
      <c r="Q150" s="9">
        <v>8000</v>
      </c>
      <c r="R150" s="9">
        <v>20000</v>
      </c>
      <c r="S150" s="9">
        <v>20000</v>
      </c>
      <c r="T150" s="9">
        <v>0</v>
      </c>
      <c r="U150">
        <v>150000</v>
      </c>
      <c r="V150" s="11">
        <f t="shared" si="2"/>
        <v>150000</v>
      </c>
      <c r="W150">
        <v>0</v>
      </c>
      <c r="X150" t="s">
        <v>54</v>
      </c>
      <c r="Y150" s="1" t="s">
        <v>263</v>
      </c>
    </row>
    <row r="151" spans="1:25">
      <c r="A151" t="s">
        <v>533</v>
      </c>
      <c r="B151" t="s">
        <v>534</v>
      </c>
      <c r="C151">
        <v>13612</v>
      </c>
      <c r="D151" t="s">
        <v>535</v>
      </c>
      <c r="E151" t="s">
        <v>90</v>
      </c>
      <c r="G151" s="1" t="s">
        <v>29</v>
      </c>
      <c r="H151" s="1">
        <v>42</v>
      </c>
      <c r="I151" s="1">
        <v>3</v>
      </c>
      <c r="J151">
        <v>1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>
        <v>0</v>
      </c>
      <c r="V151" s="11">
        <f t="shared" si="2"/>
        <v>0</v>
      </c>
      <c r="W151">
        <v>0</v>
      </c>
      <c r="X151" s="8" t="s">
        <v>536</v>
      </c>
      <c r="Y151" s="1" t="s">
        <v>139</v>
      </c>
    </row>
    <row r="152" spans="1:25">
      <c r="A152" t="s">
        <v>537</v>
      </c>
      <c r="B152" t="s">
        <v>538</v>
      </c>
      <c r="C152">
        <v>12187</v>
      </c>
      <c r="D152" t="s">
        <v>539</v>
      </c>
      <c r="E152" t="s">
        <v>150</v>
      </c>
      <c r="G152" s="1" t="s">
        <v>29</v>
      </c>
      <c r="H152" s="1">
        <v>75</v>
      </c>
      <c r="I152" s="1">
        <v>7</v>
      </c>
      <c r="J152">
        <v>1</v>
      </c>
      <c r="K152">
        <v>0</v>
      </c>
      <c r="L152" s="9">
        <v>5000</v>
      </c>
      <c r="M152" s="9">
        <v>8000</v>
      </c>
      <c r="N152" s="9">
        <v>9000</v>
      </c>
      <c r="O152" s="9">
        <v>58000</v>
      </c>
      <c r="P152">
        <v>0</v>
      </c>
      <c r="Q152">
        <v>1000</v>
      </c>
      <c r="R152">
        <v>0</v>
      </c>
      <c r="S152">
        <v>0</v>
      </c>
      <c r="T152">
        <v>0</v>
      </c>
      <c r="U152">
        <v>81000</v>
      </c>
      <c r="V152" s="11">
        <f t="shared" si="2"/>
        <v>81000</v>
      </c>
      <c r="W152">
        <v>0</v>
      </c>
      <c r="X152" t="s">
        <v>42</v>
      </c>
      <c r="Y152" s="1" t="s">
        <v>139</v>
      </c>
    </row>
    <row r="153" spans="1:25">
      <c r="A153" t="s">
        <v>540</v>
      </c>
      <c r="B153" t="s">
        <v>541</v>
      </c>
      <c r="C153">
        <v>5258</v>
      </c>
      <c r="D153" t="s">
        <v>542</v>
      </c>
      <c r="E153" t="s">
        <v>78</v>
      </c>
      <c r="G153" s="1" t="s">
        <v>29</v>
      </c>
      <c r="H153" s="1">
        <v>36</v>
      </c>
      <c r="I153" s="1">
        <v>2</v>
      </c>
      <c r="J153">
        <v>1</v>
      </c>
      <c r="L153">
        <v>5000</v>
      </c>
      <c r="M153">
        <v>8600</v>
      </c>
      <c r="N153">
        <v>10000</v>
      </c>
      <c r="O153">
        <v>40000</v>
      </c>
      <c r="Q153">
        <v>5400</v>
      </c>
      <c r="R153">
        <v>1000</v>
      </c>
      <c r="U153">
        <v>70000</v>
      </c>
      <c r="V153" s="11">
        <f t="shared" si="2"/>
        <v>70000</v>
      </c>
      <c r="W153">
        <v>0</v>
      </c>
      <c r="X153" t="s">
        <v>46</v>
      </c>
      <c r="Y153" s="1" t="s">
        <v>31</v>
      </c>
    </row>
    <row r="154" spans="1:25">
      <c r="A154" t="s">
        <v>543</v>
      </c>
      <c r="B154" t="s">
        <v>544</v>
      </c>
      <c r="C154">
        <v>11181</v>
      </c>
      <c r="D154" t="s">
        <v>545</v>
      </c>
      <c r="E154" t="s">
        <v>50</v>
      </c>
      <c r="G154" s="1" t="s">
        <v>35</v>
      </c>
      <c r="H154" s="1">
        <v>50</v>
      </c>
      <c r="I154" s="1">
        <v>4</v>
      </c>
      <c r="J154" s="8">
        <v>0</v>
      </c>
      <c r="L154" s="9">
        <v>1000</v>
      </c>
      <c r="M154" s="9">
        <v>7000</v>
      </c>
      <c r="N154" s="9">
        <v>6000</v>
      </c>
      <c r="O154" s="9">
        <v>30000</v>
      </c>
      <c r="Q154">
        <v>4000</v>
      </c>
      <c r="U154">
        <v>48000</v>
      </c>
      <c r="V154" s="11">
        <f t="shared" si="2"/>
        <v>48000</v>
      </c>
      <c r="W154">
        <v>0</v>
      </c>
      <c r="X154" t="s">
        <v>54</v>
      </c>
      <c r="Y154" s="1" t="s">
        <v>31</v>
      </c>
    </row>
    <row r="155" spans="1:25">
      <c r="A155" t="s">
        <v>546</v>
      </c>
      <c r="B155" t="s">
        <v>547</v>
      </c>
      <c r="C155">
        <v>4664</v>
      </c>
      <c r="D155" t="s">
        <v>548</v>
      </c>
      <c r="E155" t="s">
        <v>78</v>
      </c>
      <c r="G155" s="1" t="s">
        <v>35</v>
      </c>
      <c r="H155" s="1">
        <v>71</v>
      </c>
      <c r="I155" s="1">
        <v>2</v>
      </c>
      <c r="J155">
        <v>1</v>
      </c>
      <c r="K155">
        <v>0</v>
      </c>
      <c r="L155">
        <v>1000</v>
      </c>
      <c r="M155">
        <v>5000</v>
      </c>
      <c r="N155">
        <v>10000</v>
      </c>
      <c r="O155" s="9">
        <v>75200</v>
      </c>
      <c r="P155">
        <v>0</v>
      </c>
      <c r="Q155">
        <v>4800</v>
      </c>
      <c r="R155">
        <v>8000</v>
      </c>
      <c r="S155">
        <v>0</v>
      </c>
      <c r="T155" s="9">
        <v>0</v>
      </c>
      <c r="U155">
        <v>104000</v>
      </c>
      <c r="V155" s="11">
        <f t="shared" si="2"/>
        <v>104000</v>
      </c>
      <c r="W155">
        <v>0</v>
      </c>
      <c r="X155" t="s">
        <v>54</v>
      </c>
      <c r="Y155" s="1" t="s">
        <v>31</v>
      </c>
    </row>
    <row r="156" spans="1:25">
      <c r="A156" t="s">
        <v>549</v>
      </c>
      <c r="B156" t="s">
        <v>550</v>
      </c>
      <c r="C156">
        <v>4672</v>
      </c>
      <c r="D156" t="s">
        <v>551</v>
      </c>
      <c r="E156" t="s">
        <v>90</v>
      </c>
      <c r="G156" s="1" t="s">
        <v>35</v>
      </c>
      <c r="H156" s="1">
        <v>31</v>
      </c>
      <c r="I156" s="1">
        <v>2</v>
      </c>
      <c r="J156">
        <v>1</v>
      </c>
      <c r="K156" s="9">
        <v>2000</v>
      </c>
      <c r="L156">
        <v>10000</v>
      </c>
      <c r="M156">
        <v>6000</v>
      </c>
      <c r="N156">
        <v>8000</v>
      </c>
      <c r="O156" s="9">
        <v>700000</v>
      </c>
      <c r="Q156">
        <v>8400</v>
      </c>
      <c r="R156" s="9">
        <v>4000</v>
      </c>
      <c r="U156">
        <v>738400</v>
      </c>
      <c r="V156" s="11">
        <f t="shared" si="2"/>
        <v>738400</v>
      </c>
      <c r="W156">
        <v>0</v>
      </c>
      <c r="X156" t="s">
        <v>46</v>
      </c>
      <c r="Y156" s="1" t="s">
        <v>31</v>
      </c>
    </row>
    <row r="157" spans="1:25">
      <c r="A157" t="s">
        <v>552</v>
      </c>
      <c r="B157" t="s">
        <v>553</v>
      </c>
      <c r="C157">
        <v>4994</v>
      </c>
      <c r="D157" t="s">
        <v>554</v>
      </c>
      <c r="E157" t="s">
        <v>66</v>
      </c>
      <c r="G157" s="1" t="s">
        <v>35</v>
      </c>
      <c r="H157" s="1">
        <v>40</v>
      </c>
      <c r="I157" s="1">
        <v>8</v>
      </c>
      <c r="J157">
        <v>1</v>
      </c>
      <c r="K157" s="8"/>
      <c r="L157" s="8"/>
      <c r="M157" s="8"/>
      <c r="N157" s="8"/>
      <c r="O157" s="8">
        <v>105</v>
      </c>
      <c r="P157" s="8"/>
      <c r="Q157" s="8"/>
      <c r="R157" s="8"/>
      <c r="S157" s="8"/>
      <c r="T157" s="8"/>
      <c r="U157">
        <v>105</v>
      </c>
      <c r="V157" s="11">
        <f t="shared" si="2"/>
        <v>105</v>
      </c>
      <c r="W157">
        <v>0</v>
      </c>
      <c r="X157" t="s">
        <v>67</v>
      </c>
      <c r="Y157" s="1" t="s">
        <v>31</v>
      </c>
    </row>
    <row r="158" spans="1:25">
      <c r="A158" t="s">
        <v>555</v>
      </c>
      <c r="B158" t="s">
        <v>556</v>
      </c>
      <c r="C158">
        <v>11200</v>
      </c>
      <c r="D158" t="s">
        <v>557</v>
      </c>
      <c r="E158" t="s">
        <v>90</v>
      </c>
      <c r="G158" s="1" t="s">
        <v>29</v>
      </c>
      <c r="H158" s="1">
        <v>38</v>
      </c>
      <c r="I158" s="1">
        <v>3</v>
      </c>
      <c r="J158">
        <v>1</v>
      </c>
      <c r="K158" s="9">
        <v>0</v>
      </c>
      <c r="L158" s="9">
        <v>600</v>
      </c>
      <c r="M158">
        <v>0</v>
      </c>
      <c r="N158">
        <v>0</v>
      </c>
      <c r="O158" s="9">
        <v>4000</v>
      </c>
      <c r="P158">
        <v>0</v>
      </c>
      <c r="Q158">
        <v>2000</v>
      </c>
      <c r="R158">
        <v>9000</v>
      </c>
      <c r="S158">
        <v>0</v>
      </c>
      <c r="T158">
        <v>0</v>
      </c>
      <c r="U158">
        <v>15600</v>
      </c>
      <c r="V158" s="11">
        <f t="shared" si="2"/>
        <v>15600</v>
      </c>
      <c r="W158">
        <v>0</v>
      </c>
      <c r="X158" t="s">
        <v>54</v>
      </c>
      <c r="Y158" s="1" t="s">
        <v>31</v>
      </c>
    </row>
    <row r="159" spans="1:25">
      <c r="A159" t="s">
        <v>558</v>
      </c>
      <c r="B159" t="s">
        <v>559</v>
      </c>
      <c r="C159">
        <v>2938</v>
      </c>
      <c r="D159" t="s">
        <v>560</v>
      </c>
      <c r="E159" t="s">
        <v>299</v>
      </c>
      <c r="F159" t="s">
        <v>417</v>
      </c>
      <c r="G159" s="1" t="s">
        <v>35</v>
      </c>
      <c r="H159" s="1">
        <v>74</v>
      </c>
      <c r="I159" s="1">
        <v>5</v>
      </c>
      <c r="J159">
        <v>4</v>
      </c>
      <c r="L159">
        <v>4200</v>
      </c>
      <c r="M159">
        <v>8400</v>
      </c>
      <c r="N159">
        <v>1400</v>
      </c>
      <c r="O159">
        <v>9800</v>
      </c>
      <c r="Q159">
        <v>4200</v>
      </c>
      <c r="U159">
        <v>28000</v>
      </c>
      <c r="V159" s="11">
        <f t="shared" si="2"/>
        <v>28000</v>
      </c>
      <c r="W159">
        <v>0</v>
      </c>
      <c r="X159" t="s">
        <v>274</v>
      </c>
      <c r="Y159" s="1" t="s">
        <v>31</v>
      </c>
    </row>
    <row r="160" spans="1:25">
      <c r="A160" t="s">
        <v>561</v>
      </c>
      <c r="B160" t="s">
        <v>562</v>
      </c>
      <c r="C160">
        <v>862</v>
      </c>
      <c r="D160" t="s">
        <v>563</v>
      </c>
      <c r="E160" t="s">
        <v>115</v>
      </c>
      <c r="G160" s="1" t="s">
        <v>29</v>
      </c>
      <c r="H160" s="1">
        <v>46</v>
      </c>
      <c r="I160" s="1">
        <v>3</v>
      </c>
      <c r="J160">
        <v>2</v>
      </c>
      <c r="K160">
        <v>0</v>
      </c>
      <c r="L160" s="9">
        <v>500</v>
      </c>
      <c r="M160">
        <v>0</v>
      </c>
      <c r="N160">
        <v>0</v>
      </c>
      <c r="O160">
        <v>1000</v>
      </c>
      <c r="P160">
        <v>0</v>
      </c>
      <c r="Q160" s="9">
        <v>3500</v>
      </c>
      <c r="R160">
        <v>0</v>
      </c>
      <c r="S160">
        <v>0</v>
      </c>
      <c r="T160">
        <v>0</v>
      </c>
      <c r="U160">
        <v>5000</v>
      </c>
      <c r="V160" s="11">
        <f t="shared" si="2"/>
        <v>5000</v>
      </c>
      <c r="W160">
        <v>0</v>
      </c>
      <c r="X160" t="s">
        <v>316</v>
      </c>
      <c r="Y160" s="1" t="s">
        <v>31</v>
      </c>
    </row>
    <row r="161" spans="1:25">
      <c r="A161" t="s">
        <v>564</v>
      </c>
      <c r="B161" t="s">
        <v>565</v>
      </c>
      <c r="C161">
        <v>864</v>
      </c>
      <c r="D161" t="s">
        <v>566</v>
      </c>
      <c r="E161" t="s">
        <v>28</v>
      </c>
      <c r="G161" s="1" t="s">
        <v>29</v>
      </c>
      <c r="H161" s="1">
        <v>78</v>
      </c>
      <c r="I161" s="1">
        <v>36</v>
      </c>
      <c r="J161">
        <v>1</v>
      </c>
      <c r="K161">
        <v>0</v>
      </c>
      <c r="L161">
        <v>2500</v>
      </c>
      <c r="M161">
        <v>0</v>
      </c>
      <c r="N161">
        <v>0</v>
      </c>
      <c r="O161" s="9">
        <v>2000</v>
      </c>
      <c r="P161">
        <v>0</v>
      </c>
      <c r="Q161">
        <v>0</v>
      </c>
      <c r="R161">
        <v>0</v>
      </c>
      <c r="S161">
        <v>0</v>
      </c>
      <c r="T161" s="9">
        <v>0</v>
      </c>
      <c r="U161">
        <v>4500</v>
      </c>
      <c r="V161" s="11">
        <f t="shared" si="2"/>
        <v>4500</v>
      </c>
      <c r="W161">
        <v>0</v>
      </c>
      <c r="X161" t="s">
        <v>316</v>
      </c>
      <c r="Y161" s="1" t="s">
        <v>31</v>
      </c>
    </row>
    <row r="162" spans="1:25">
      <c r="A162" t="s">
        <v>567</v>
      </c>
      <c r="B162" t="s">
        <v>568</v>
      </c>
      <c r="C162">
        <v>10914</v>
      </c>
      <c r="D162" t="s">
        <v>569</v>
      </c>
      <c r="E162" t="s">
        <v>66</v>
      </c>
      <c r="G162" s="1" t="s">
        <v>29</v>
      </c>
      <c r="H162" s="1">
        <v>81</v>
      </c>
      <c r="I162" s="1">
        <v>2</v>
      </c>
      <c r="J162">
        <v>2</v>
      </c>
      <c r="K162" s="8"/>
      <c r="L162" s="8"/>
      <c r="M162" s="8"/>
      <c r="N162" s="8"/>
      <c r="O162" s="8">
        <v>105</v>
      </c>
      <c r="P162" s="8"/>
      <c r="Q162" s="8"/>
      <c r="R162" s="8"/>
      <c r="S162" s="8"/>
      <c r="T162" s="8"/>
      <c r="U162" s="8">
        <v>105</v>
      </c>
      <c r="V162" s="11">
        <f t="shared" si="2"/>
        <v>105</v>
      </c>
      <c r="W162">
        <v>0</v>
      </c>
      <c r="X162" t="s">
        <v>67</v>
      </c>
      <c r="Y162" s="1" t="s">
        <v>31</v>
      </c>
    </row>
    <row r="163" spans="1:25">
      <c r="A163" t="s">
        <v>570</v>
      </c>
      <c r="B163" t="s">
        <v>571</v>
      </c>
      <c r="C163">
        <v>10915</v>
      </c>
      <c r="D163" t="s">
        <v>572</v>
      </c>
      <c r="E163" t="s">
        <v>259</v>
      </c>
      <c r="G163" s="1" t="s">
        <v>29</v>
      </c>
      <c r="H163" s="1">
        <v>41</v>
      </c>
      <c r="I163" s="1">
        <v>2</v>
      </c>
      <c r="J163">
        <v>1</v>
      </c>
      <c r="K163">
        <v>0</v>
      </c>
      <c r="L163" s="9">
        <v>3000</v>
      </c>
      <c r="M163" s="9">
        <v>6000</v>
      </c>
      <c r="N163" s="9">
        <v>4000</v>
      </c>
      <c r="O163" s="9">
        <v>110000</v>
      </c>
      <c r="P163">
        <v>0</v>
      </c>
      <c r="Q163">
        <v>2600</v>
      </c>
      <c r="R163">
        <v>15000</v>
      </c>
      <c r="S163">
        <v>0</v>
      </c>
      <c r="T163">
        <v>0</v>
      </c>
      <c r="U163">
        <v>140600</v>
      </c>
      <c r="V163" s="11">
        <f t="shared" si="2"/>
        <v>140600</v>
      </c>
      <c r="W163">
        <v>0</v>
      </c>
      <c r="X163" t="s">
        <v>274</v>
      </c>
      <c r="Y163" s="1" t="s">
        <v>31</v>
      </c>
    </row>
    <row r="164" spans="1:25">
      <c r="A164" t="s">
        <v>573</v>
      </c>
      <c r="B164" t="s">
        <v>574</v>
      </c>
      <c r="C164">
        <v>10911</v>
      </c>
      <c r="D164" t="s">
        <v>575</v>
      </c>
      <c r="E164" t="s">
        <v>150</v>
      </c>
      <c r="G164" s="1" t="s">
        <v>29</v>
      </c>
      <c r="H164" s="1">
        <v>72</v>
      </c>
      <c r="I164" s="1">
        <v>4</v>
      </c>
      <c r="J164">
        <v>1</v>
      </c>
      <c r="K164">
        <v>4000</v>
      </c>
      <c r="L164">
        <v>500</v>
      </c>
      <c r="M164">
        <v>1000</v>
      </c>
      <c r="N164">
        <v>1000</v>
      </c>
      <c r="O164">
        <v>13500</v>
      </c>
      <c r="U164">
        <v>20000</v>
      </c>
      <c r="V164" s="11">
        <f t="shared" si="2"/>
        <v>20000</v>
      </c>
      <c r="W164">
        <v>0</v>
      </c>
      <c r="X164" t="s">
        <v>316</v>
      </c>
      <c r="Y164" s="1" t="s">
        <v>31</v>
      </c>
    </row>
    <row r="165" spans="1:25">
      <c r="A165" t="s">
        <v>576</v>
      </c>
      <c r="B165" t="s">
        <v>577</v>
      </c>
      <c r="C165">
        <v>10761</v>
      </c>
      <c r="D165" t="s">
        <v>578</v>
      </c>
      <c r="E165" t="s">
        <v>188</v>
      </c>
      <c r="G165" s="1" t="s">
        <v>29</v>
      </c>
      <c r="H165" s="1">
        <v>40</v>
      </c>
      <c r="I165" s="1">
        <v>3</v>
      </c>
      <c r="J165">
        <v>1</v>
      </c>
      <c r="K165">
        <v>0</v>
      </c>
      <c r="L165" s="9">
        <v>6000</v>
      </c>
      <c r="M165" s="9">
        <v>8000</v>
      </c>
      <c r="N165" s="9">
        <v>6000</v>
      </c>
      <c r="O165" s="9">
        <v>350000</v>
      </c>
      <c r="P165">
        <v>0</v>
      </c>
      <c r="Q165">
        <v>5000</v>
      </c>
      <c r="R165">
        <v>0</v>
      </c>
      <c r="S165">
        <v>0</v>
      </c>
      <c r="T165"/>
      <c r="U165">
        <v>375000</v>
      </c>
      <c r="V165" s="11">
        <f t="shared" si="2"/>
        <v>375000</v>
      </c>
      <c r="W165">
        <v>0</v>
      </c>
      <c r="X165" t="s">
        <v>54</v>
      </c>
      <c r="Y165" s="1" t="s">
        <v>31</v>
      </c>
    </row>
    <row r="166" spans="1:25">
      <c r="A166" t="s">
        <v>579</v>
      </c>
      <c r="B166" t="s">
        <v>580</v>
      </c>
      <c r="C166">
        <v>11966</v>
      </c>
      <c r="D166" t="s">
        <v>581</v>
      </c>
      <c r="E166" t="s">
        <v>28</v>
      </c>
      <c r="G166" s="1" t="s">
        <v>35</v>
      </c>
      <c r="H166" s="1">
        <v>59</v>
      </c>
      <c r="I166" s="1">
        <v>12</v>
      </c>
      <c r="J166">
        <v>1</v>
      </c>
      <c r="K166">
        <v>0</v>
      </c>
      <c r="L166" s="9">
        <v>5000</v>
      </c>
      <c r="M166" s="9">
        <v>8000</v>
      </c>
      <c r="N166" s="9">
        <v>12000</v>
      </c>
      <c r="O166" s="9">
        <v>115000</v>
      </c>
      <c r="P166" s="9">
        <v>0</v>
      </c>
      <c r="Q166" s="9">
        <v>10000</v>
      </c>
      <c r="R166">
        <v>0</v>
      </c>
      <c r="S166">
        <v>0</v>
      </c>
      <c r="T166">
        <v>0</v>
      </c>
      <c r="U166">
        <v>150000</v>
      </c>
      <c r="V166" s="11">
        <f t="shared" si="2"/>
        <v>150000</v>
      </c>
      <c r="W166">
        <v>0</v>
      </c>
      <c r="X166" t="s">
        <v>345</v>
      </c>
      <c r="Y166" s="1" t="s">
        <v>31</v>
      </c>
    </row>
    <row r="167" spans="1:25">
      <c r="A167" t="s">
        <v>582</v>
      </c>
      <c r="B167" t="s">
        <v>583</v>
      </c>
      <c r="C167">
        <v>12449</v>
      </c>
      <c r="D167" t="s">
        <v>584</v>
      </c>
      <c r="E167" t="s">
        <v>40</v>
      </c>
      <c r="G167" s="1" t="s">
        <v>29</v>
      </c>
      <c r="H167" s="1">
        <v>66</v>
      </c>
      <c r="I167" s="1">
        <v>2</v>
      </c>
      <c r="J167">
        <v>1</v>
      </c>
      <c r="K167">
        <v>700</v>
      </c>
      <c r="L167" s="9">
        <v>1500</v>
      </c>
      <c r="M167">
        <v>4500</v>
      </c>
      <c r="N167">
        <v>13500</v>
      </c>
      <c r="O167">
        <v>20000</v>
      </c>
      <c r="P167" s="9">
        <v>0</v>
      </c>
      <c r="Q167">
        <v>300</v>
      </c>
      <c r="R167">
        <v>0</v>
      </c>
      <c r="S167">
        <v>0</v>
      </c>
      <c r="T167">
        <v>0</v>
      </c>
      <c r="U167">
        <v>40500</v>
      </c>
      <c r="V167" s="11">
        <f t="shared" si="2"/>
        <v>40500</v>
      </c>
      <c r="W167">
        <v>0</v>
      </c>
      <c r="X167" t="s">
        <v>585</v>
      </c>
      <c r="Y167" s="1" t="s">
        <v>31</v>
      </c>
    </row>
    <row r="168" spans="1:25">
      <c r="A168" t="s">
        <v>586</v>
      </c>
      <c r="B168" t="s">
        <v>587</v>
      </c>
      <c r="C168">
        <v>6813</v>
      </c>
      <c r="D168" t="s">
        <v>588</v>
      </c>
      <c r="E168" t="s">
        <v>163</v>
      </c>
      <c r="F168" t="s">
        <v>589</v>
      </c>
      <c r="G168" s="1" t="s">
        <v>35</v>
      </c>
      <c r="H168" s="1">
        <v>52</v>
      </c>
      <c r="I168" s="1">
        <v>2</v>
      </c>
      <c r="J168">
        <v>1</v>
      </c>
      <c r="L168">
        <v>1000</v>
      </c>
      <c r="M168">
        <v>10000</v>
      </c>
      <c r="N168">
        <v>10000</v>
      </c>
      <c r="O168">
        <v>20000</v>
      </c>
      <c r="P168">
        <v>5000</v>
      </c>
      <c r="Q168">
        <v>5000</v>
      </c>
      <c r="S168">
        <v>9000</v>
      </c>
      <c r="U168">
        <v>60000</v>
      </c>
      <c r="V168" s="11">
        <f t="shared" si="2"/>
        <v>60000</v>
      </c>
      <c r="W168">
        <v>0</v>
      </c>
      <c r="X168" t="s">
        <v>54</v>
      </c>
      <c r="Y168" s="1" t="s">
        <v>31</v>
      </c>
    </row>
    <row r="169" spans="1:25">
      <c r="A169" t="s">
        <v>590</v>
      </c>
      <c r="B169" t="s">
        <v>591</v>
      </c>
      <c r="C169">
        <v>5777</v>
      </c>
      <c r="D169" t="s">
        <v>592</v>
      </c>
      <c r="E169" t="s">
        <v>593</v>
      </c>
      <c r="F169" t="s">
        <v>594</v>
      </c>
      <c r="G169" s="1" t="s">
        <v>35</v>
      </c>
      <c r="H169" s="1">
        <v>67</v>
      </c>
      <c r="I169" s="1">
        <v>7</v>
      </c>
      <c r="J169">
        <v>4</v>
      </c>
      <c r="K169"/>
      <c r="L169" s="9">
        <v>15000</v>
      </c>
      <c r="M169" s="9">
        <v>6000</v>
      </c>
      <c r="N169" s="9">
        <v>8000</v>
      </c>
      <c r="O169" s="9">
        <v>260000</v>
      </c>
      <c r="P169" s="9"/>
      <c r="Q169" s="9">
        <v>8000</v>
      </c>
      <c r="S169" s="9">
        <v>3000</v>
      </c>
      <c r="U169">
        <v>300000</v>
      </c>
      <c r="V169" s="11">
        <f t="shared" si="2"/>
        <v>300000</v>
      </c>
      <c r="W169">
        <v>0</v>
      </c>
      <c r="X169" s="14" t="s">
        <v>595</v>
      </c>
      <c r="Y169" s="1" t="s">
        <v>31</v>
      </c>
    </row>
    <row r="170" spans="1:25">
      <c r="A170" t="s">
        <v>596</v>
      </c>
      <c r="B170" t="s">
        <v>597</v>
      </c>
      <c r="C170">
        <v>5834</v>
      </c>
      <c r="D170" t="s">
        <v>598</v>
      </c>
      <c r="E170" t="s">
        <v>28</v>
      </c>
      <c r="G170" s="1" t="s">
        <v>35</v>
      </c>
      <c r="H170" s="1">
        <v>56</v>
      </c>
      <c r="I170" s="1">
        <v>2</v>
      </c>
      <c r="J170">
        <v>1</v>
      </c>
      <c r="K170">
        <v>0</v>
      </c>
      <c r="L170" s="9">
        <v>500</v>
      </c>
      <c r="M170" s="9"/>
      <c r="N170" s="9"/>
      <c r="O170" s="9">
        <v>2500</v>
      </c>
      <c r="U170">
        <v>3000</v>
      </c>
      <c r="V170" s="11">
        <f t="shared" si="2"/>
        <v>3000</v>
      </c>
      <c r="W170">
        <v>0</v>
      </c>
      <c r="X170" t="s">
        <v>54</v>
      </c>
      <c r="Y170" s="1" t="s">
        <v>31</v>
      </c>
    </row>
    <row r="171" spans="1:25">
      <c r="A171" t="s">
        <v>599</v>
      </c>
      <c r="B171" t="s">
        <v>600</v>
      </c>
      <c r="C171">
        <v>5108</v>
      </c>
      <c r="D171" t="s">
        <v>601</v>
      </c>
      <c r="E171" t="s">
        <v>188</v>
      </c>
      <c r="G171" s="1" t="s">
        <v>29</v>
      </c>
      <c r="H171" s="1">
        <v>53</v>
      </c>
      <c r="I171" s="1">
        <v>2</v>
      </c>
      <c r="J171">
        <v>1</v>
      </c>
      <c r="L171" s="9">
        <v>4500</v>
      </c>
      <c r="M171">
        <v>50000</v>
      </c>
      <c r="N171">
        <v>100000</v>
      </c>
      <c r="O171">
        <v>150000</v>
      </c>
      <c r="P171">
        <v>85000</v>
      </c>
      <c r="Q171">
        <v>72000</v>
      </c>
      <c r="R171" s="9">
        <v>100000</v>
      </c>
      <c r="S171">
        <v>0</v>
      </c>
      <c r="T171">
        <v>0</v>
      </c>
      <c r="U171">
        <v>561500</v>
      </c>
      <c r="V171" s="11">
        <f t="shared" si="2"/>
        <v>561500</v>
      </c>
      <c r="W171">
        <v>0</v>
      </c>
      <c r="X171" t="s">
        <v>42</v>
      </c>
      <c r="Y171" s="1" t="s">
        <v>116</v>
      </c>
    </row>
    <row r="172" spans="1:25">
      <c r="A172" t="s">
        <v>602</v>
      </c>
      <c r="B172" t="s">
        <v>603</v>
      </c>
      <c r="C172">
        <v>3037</v>
      </c>
      <c r="D172" t="s">
        <v>604</v>
      </c>
      <c r="E172" t="s">
        <v>78</v>
      </c>
      <c r="F172" t="s">
        <v>605</v>
      </c>
      <c r="G172" s="1" t="s">
        <v>29</v>
      </c>
      <c r="H172" s="1">
        <v>62</v>
      </c>
      <c r="I172" s="1">
        <v>2</v>
      </c>
      <c r="J172">
        <v>1</v>
      </c>
      <c r="K172">
        <v>0</v>
      </c>
      <c r="L172">
        <v>500</v>
      </c>
      <c r="M172">
        <v>2000</v>
      </c>
      <c r="N172">
        <v>3000</v>
      </c>
      <c r="O172">
        <v>15000</v>
      </c>
      <c r="P172">
        <v>0</v>
      </c>
      <c r="Q172">
        <v>3000</v>
      </c>
      <c r="R172">
        <v>0</v>
      </c>
      <c r="S172">
        <v>1500</v>
      </c>
      <c r="T172">
        <v>0</v>
      </c>
      <c r="U172">
        <v>25000</v>
      </c>
      <c r="V172" s="11">
        <f t="shared" si="2"/>
        <v>25000</v>
      </c>
      <c r="W172">
        <v>0</v>
      </c>
      <c r="X172" t="s">
        <v>54</v>
      </c>
      <c r="Y172" s="1" t="s">
        <v>116</v>
      </c>
    </row>
    <row r="173" spans="1:25">
      <c r="A173" t="s">
        <v>606</v>
      </c>
      <c r="B173" t="s">
        <v>607</v>
      </c>
      <c r="C173">
        <v>11186</v>
      </c>
      <c r="D173" t="s">
        <v>608</v>
      </c>
      <c r="E173" t="s">
        <v>71</v>
      </c>
      <c r="G173" s="1" t="s">
        <v>35</v>
      </c>
      <c r="H173" s="1">
        <v>63</v>
      </c>
      <c r="I173" s="1">
        <v>1</v>
      </c>
      <c r="J173">
        <v>1</v>
      </c>
      <c r="K173">
        <v>0</v>
      </c>
      <c r="L173">
        <v>1000</v>
      </c>
      <c r="M173">
        <v>8000</v>
      </c>
      <c r="N173">
        <v>4000</v>
      </c>
      <c r="O173">
        <v>30000</v>
      </c>
      <c r="P173">
        <v>0</v>
      </c>
      <c r="Q173">
        <v>5000</v>
      </c>
      <c r="R173">
        <v>0</v>
      </c>
      <c r="S173">
        <v>5000</v>
      </c>
      <c r="U173">
        <v>53000</v>
      </c>
      <c r="V173" s="11">
        <f t="shared" si="2"/>
        <v>53000</v>
      </c>
      <c r="W173">
        <v>0</v>
      </c>
      <c r="X173" t="s">
        <v>54</v>
      </c>
      <c r="Y173" s="1" t="s">
        <v>116</v>
      </c>
    </row>
    <row r="174" spans="1:25">
      <c r="A174" t="s">
        <v>609</v>
      </c>
      <c r="B174" t="s">
        <v>610</v>
      </c>
      <c r="C174">
        <v>11287</v>
      </c>
      <c r="D174" t="s">
        <v>611</v>
      </c>
      <c r="E174" t="s">
        <v>259</v>
      </c>
      <c r="G174" s="1" t="s">
        <v>29</v>
      </c>
      <c r="H174" s="1">
        <v>59</v>
      </c>
      <c r="I174" s="1">
        <v>2</v>
      </c>
      <c r="J174">
        <v>1</v>
      </c>
      <c r="K174">
        <v>700</v>
      </c>
      <c r="L174" s="9">
        <v>2000</v>
      </c>
      <c r="M174" s="9">
        <v>0</v>
      </c>
      <c r="N174">
        <v>0</v>
      </c>
      <c r="O174" s="9">
        <v>5500</v>
      </c>
      <c r="P174">
        <v>16000</v>
      </c>
      <c r="Q174">
        <v>1800</v>
      </c>
      <c r="R174" s="9">
        <v>0</v>
      </c>
      <c r="S174">
        <v>0</v>
      </c>
      <c r="T174">
        <v>0</v>
      </c>
      <c r="U174">
        <v>26000</v>
      </c>
      <c r="V174" s="11">
        <f t="shared" si="2"/>
        <v>26000</v>
      </c>
      <c r="W174">
        <v>0</v>
      </c>
      <c r="X174" t="s">
        <v>46</v>
      </c>
      <c r="Y174" s="1" t="s">
        <v>116</v>
      </c>
    </row>
    <row r="175" spans="1:25">
      <c r="A175" t="s">
        <v>612</v>
      </c>
      <c r="B175" t="s">
        <v>613</v>
      </c>
      <c r="C175">
        <v>2940</v>
      </c>
      <c r="D175" t="s">
        <v>614</v>
      </c>
      <c r="E175" t="s">
        <v>28</v>
      </c>
      <c r="G175" s="1" t="s">
        <v>29</v>
      </c>
      <c r="H175" s="1">
        <v>60</v>
      </c>
      <c r="I175" s="1">
        <v>6</v>
      </c>
      <c r="J175">
        <v>1</v>
      </c>
      <c r="K175" s="8">
        <v>20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>
        <v>3000</v>
      </c>
      <c r="R175">
        <v>0</v>
      </c>
      <c r="S175">
        <v>0</v>
      </c>
      <c r="T175">
        <v>0</v>
      </c>
      <c r="U175">
        <v>3020</v>
      </c>
      <c r="V175" s="11">
        <f t="shared" si="2"/>
        <v>3020</v>
      </c>
      <c r="W175">
        <v>0</v>
      </c>
      <c r="X175" t="s">
        <v>54</v>
      </c>
      <c r="Y175" s="1" t="s">
        <v>116</v>
      </c>
    </row>
    <row r="176" spans="1:25">
      <c r="A176" t="s">
        <v>615</v>
      </c>
      <c r="B176" t="s">
        <v>616</v>
      </c>
      <c r="C176">
        <v>10952</v>
      </c>
      <c r="D176" t="s">
        <v>617</v>
      </c>
      <c r="E176" t="s">
        <v>259</v>
      </c>
      <c r="G176" s="1" t="s">
        <v>29</v>
      </c>
      <c r="H176" s="1">
        <v>56</v>
      </c>
      <c r="I176" s="1">
        <v>2</v>
      </c>
      <c r="J176">
        <v>1</v>
      </c>
      <c r="K176">
        <v>0</v>
      </c>
      <c r="L176">
        <v>0</v>
      </c>
      <c r="M176">
        <v>6000</v>
      </c>
      <c r="N176">
        <v>14000</v>
      </c>
      <c r="O176">
        <v>6000</v>
      </c>
      <c r="P176" s="9">
        <v>2500</v>
      </c>
      <c r="Q176">
        <v>2000</v>
      </c>
      <c r="R176">
        <v>5000</v>
      </c>
      <c r="S176">
        <v>0</v>
      </c>
      <c r="T176" s="9">
        <v>0</v>
      </c>
      <c r="U176">
        <v>35500</v>
      </c>
      <c r="V176" s="11">
        <f t="shared" si="2"/>
        <v>35500</v>
      </c>
      <c r="W176">
        <v>0</v>
      </c>
      <c r="X176" t="s">
        <v>46</v>
      </c>
      <c r="Y176" s="1" t="s">
        <v>116</v>
      </c>
    </row>
    <row r="177" spans="1:25">
      <c r="A177" t="s">
        <v>618</v>
      </c>
      <c r="B177" t="s">
        <v>619</v>
      </c>
      <c r="C177">
        <v>11900</v>
      </c>
      <c r="D177" t="s">
        <v>620</v>
      </c>
      <c r="E177" t="s">
        <v>188</v>
      </c>
      <c r="G177" s="1" t="s">
        <v>29</v>
      </c>
      <c r="H177" s="1">
        <v>49</v>
      </c>
      <c r="I177" s="1">
        <v>5</v>
      </c>
      <c r="J177">
        <v>1</v>
      </c>
      <c r="L177" s="9">
        <v>2000</v>
      </c>
      <c r="M177" s="9">
        <v>20000</v>
      </c>
      <c r="N177">
        <v>40000</v>
      </c>
      <c r="O177">
        <v>25000</v>
      </c>
      <c r="P177">
        <v>10000</v>
      </c>
      <c r="Q177">
        <v>15000</v>
      </c>
      <c r="R177">
        <v>15000</v>
      </c>
      <c r="S177" s="9">
        <v>3000</v>
      </c>
      <c r="U177">
        <v>130000</v>
      </c>
      <c r="V177" s="11">
        <f t="shared" si="2"/>
        <v>130000</v>
      </c>
      <c r="W177">
        <v>0</v>
      </c>
      <c r="X177" t="s">
        <v>197</v>
      </c>
      <c r="Y177" s="1" t="s">
        <v>116</v>
      </c>
    </row>
    <row r="178" spans="1:25">
      <c r="A178" t="s">
        <v>621</v>
      </c>
      <c r="B178" t="s">
        <v>622</v>
      </c>
      <c r="C178">
        <v>5022</v>
      </c>
      <c r="D178" t="s">
        <v>623</v>
      </c>
      <c r="E178" t="s">
        <v>78</v>
      </c>
      <c r="G178" s="1" t="s">
        <v>35</v>
      </c>
      <c r="H178" s="1">
        <v>57</v>
      </c>
      <c r="I178" s="1">
        <v>1</v>
      </c>
      <c r="J178">
        <v>1</v>
      </c>
      <c r="L178">
        <v>1000</v>
      </c>
      <c r="M178">
        <v>6000</v>
      </c>
      <c r="N178">
        <v>10000</v>
      </c>
      <c r="O178">
        <v>30000</v>
      </c>
      <c r="Q178">
        <v>3000</v>
      </c>
      <c r="U178">
        <v>50000</v>
      </c>
      <c r="V178" s="11">
        <f t="shared" si="2"/>
        <v>50000</v>
      </c>
      <c r="W178">
        <v>0</v>
      </c>
      <c r="X178" t="s">
        <v>54</v>
      </c>
      <c r="Y178" s="1" t="s">
        <v>116</v>
      </c>
    </row>
    <row r="179" spans="1:25">
      <c r="A179" t="s">
        <v>624</v>
      </c>
      <c r="B179" t="s">
        <v>625</v>
      </c>
      <c r="C179">
        <v>6193</v>
      </c>
      <c r="D179" t="s">
        <v>626</v>
      </c>
      <c r="E179" t="s">
        <v>62</v>
      </c>
      <c r="G179" s="1" t="s">
        <v>35</v>
      </c>
      <c r="H179" s="1">
        <v>58</v>
      </c>
      <c r="I179" s="1">
        <v>3</v>
      </c>
      <c r="J179">
        <v>1</v>
      </c>
      <c r="L179">
        <v>1000</v>
      </c>
      <c r="M179">
        <v>6000</v>
      </c>
      <c r="N179">
        <v>8000</v>
      </c>
      <c r="O179">
        <v>25000</v>
      </c>
      <c r="Q179">
        <v>1600</v>
      </c>
      <c r="S179">
        <v>3400</v>
      </c>
      <c r="U179">
        <v>45000</v>
      </c>
      <c r="V179" s="11">
        <f t="shared" si="2"/>
        <v>45000</v>
      </c>
      <c r="W179">
        <v>0</v>
      </c>
      <c r="X179" t="s">
        <v>30</v>
      </c>
      <c r="Y179" s="1" t="s">
        <v>116</v>
      </c>
    </row>
    <row r="180" spans="1:25">
      <c r="A180" t="s">
        <v>627</v>
      </c>
      <c r="B180" t="s">
        <v>628</v>
      </c>
      <c r="C180">
        <v>5768</v>
      </c>
      <c r="D180" t="s">
        <v>629</v>
      </c>
      <c r="E180" t="s">
        <v>71</v>
      </c>
      <c r="G180" s="1" t="s">
        <v>35</v>
      </c>
      <c r="H180" s="1">
        <v>58</v>
      </c>
      <c r="I180" s="1">
        <v>3</v>
      </c>
      <c r="J180">
        <v>1</v>
      </c>
      <c r="K180" s="8"/>
      <c r="L180" s="8"/>
      <c r="M180" s="8"/>
      <c r="N180" s="8"/>
      <c r="O180" s="8">
        <v>205</v>
      </c>
      <c r="P180" s="8"/>
      <c r="Q180" s="8"/>
      <c r="R180" s="8"/>
      <c r="S180" s="8"/>
      <c r="T180" s="8"/>
      <c r="U180">
        <v>205</v>
      </c>
      <c r="V180" s="11">
        <f t="shared" si="2"/>
        <v>205</v>
      </c>
      <c r="W180">
        <v>0</v>
      </c>
      <c r="X180" t="s">
        <v>54</v>
      </c>
      <c r="Y180" s="1" t="s">
        <v>116</v>
      </c>
    </row>
    <row r="181" spans="1:25">
      <c r="A181" t="s">
        <v>630</v>
      </c>
      <c r="B181" t="s">
        <v>631</v>
      </c>
      <c r="C181">
        <v>8321</v>
      </c>
      <c r="D181" t="s">
        <v>632</v>
      </c>
      <c r="E181" t="s">
        <v>62</v>
      </c>
      <c r="G181" s="1" t="s">
        <v>35</v>
      </c>
      <c r="H181" s="1">
        <v>74</v>
      </c>
      <c r="I181" s="1">
        <v>1</v>
      </c>
      <c r="J181">
        <v>1</v>
      </c>
      <c r="K181">
        <v>500</v>
      </c>
      <c r="L181" s="9">
        <v>2000</v>
      </c>
      <c r="M181">
        <v>8000</v>
      </c>
      <c r="N181">
        <v>12000</v>
      </c>
      <c r="O181">
        <v>20000</v>
      </c>
      <c r="P181">
        <v>6000</v>
      </c>
      <c r="Q181">
        <v>1000</v>
      </c>
      <c r="R181">
        <v>3000</v>
      </c>
      <c r="S181">
        <v>0</v>
      </c>
      <c r="T181">
        <v>0</v>
      </c>
      <c r="U181">
        <v>52500</v>
      </c>
      <c r="V181" s="11">
        <f t="shared" si="2"/>
        <v>52500</v>
      </c>
      <c r="W181">
        <v>0</v>
      </c>
      <c r="X181" t="s">
        <v>54</v>
      </c>
      <c r="Y181" s="1" t="s">
        <v>139</v>
      </c>
    </row>
    <row r="182" spans="1:25">
      <c r="A182" t="s">
        <v>633</v>
      </c>
      <c r="B182" t="s">
        <v>634</v>
      </c>
      <c r="C182">
        <v>8352</v>
      </c>
      <c r="D182" t="s">
        <v>635</v>
      </c>
      <c r="E182" t="s">
        <v>71</v>
      </c>
      <c r="G182" s="1" t="s">
        <v>35</v>
      </c>
      <c r="H182" s="1">
        <v>45</v>
      </c>
      <c r="I182" s="1">
        <v>3</v>
      </c>
      <c r="J182">
        <v>1</v>
      </c>
      <c r="K182">
        <v>5500</v>
      </c>
      <c r="L182" s="9">
        <v>10000</v>
      </c>
      <c r="M182" s="9">
        <v>2800</v>
      </c>
      <c r="N182">
        <v>8000</v>
      </c>
      <c r="O182" s="9">
        <v>28000</v>
      </c>
      <c r="P182">
        <v>12000</v>
      </c>
      <c r="Q182">
        <v>8000</v>
      </c>
      <c r="R182">
        <v>15000</v>
      </c>
      <c r="S182">
        <v>0</v>
      </c>
      <c r="T182">
        <v>0</v>
      </c>
      <c r="U182">
        <v>89300</v>
      </c>
      <c r="V182" s="11">
        <f t="shared" si="2"/>
        <v>89300</v>
      </c>
      <c r="W182">
        <v>0</v>
      </c>
      <c r="X182" t="s">
        <v>54</v>
      </c>
      <c r="Y182" s="1" t="s">
        <v>139</v>
      </c>
    </row>
    <row r="183" spans="1:25">
      <c r="A183" t="s">
        <v>636</v>
      </c>
      <c r="B183" t="s">
        <v>637</v>
      </c>
      <c r="C183">
        <v>750</v>
      </c>
      <c r="D183" t="s">
        <v>638</v>
      </c>
      <c r="E183" t="s">
        <v>150</v>
      </c>
      <c r="G183" s="1" t="s">
        <v>29</v>
      </c>
      <c r="H183" s="1">
        <v>71</v>
      </c>
      <c r="I183" s="1">
        <v>2</v>
      </c>
      <c r="J183">
        <v>2</v>
      </c>
      <c r="K183">
        <v>950</v>
      </c>
      <c r="L183">
        <v>1000</v>
      </c>
      <c r="M183">
        <v>1500</v>
      </c>
      <c r="N183">
        <v>350</v>
      </c>
      <c r="O183">
        <v>19000</v>
      </c>
      <c r="P183">
        <v>0</v>
      </c>
      <c r="Q183">
        <v>2200</v>
      </c>
      <c r="R183">
        <v>0</v>
      </c>
      <c r="S183">
        <v>0</v>
      </c>
      <c r="T183">
        <v>0</v>
      </c>
      <c r="U183">
        <v>25000</v>
      </c>
      <c r="V183" s="11">
        <f t="shared" si="2"/>
        <v>25000</v>
      </c>
      <c r="W183">
        <v>0</v>
      </c>
      <c r="X183" t="s">
        <v>54</v>
      </c>
      <c r="Y183" s="1" t="s">
        <v>31</v>
      </c>
    </row>
    <row r="184" spans="1:25">
      <c r="A184" t="s">
        <v>639</v>
      </c>
      <c r="B184" t="s">
        <v>640</v>
      </c>
      <c r="C184">
        <v>889</v>
      </c>
      <c r="D184" t="s">
        <v>641</v>
      </c>
      <c r="E184" t="s">
        <v>150</v>
      </c>
      <c r="G184" s="1" t="s">
        <v>35</v>
      </c>
      <c r="H184" s="1">
        <v>60</v>
      </c>
      <c r="I184" s="1">
        <v>3</v>
      </c>
      <c r="J184">
        <v>2</v>
      </c>
      <c r="K184">
        <v>75</v>
      </c>
      <c r="L184" s="9">
        <v>600</v>
      </c>
      <c r="M184">
        <v>2200</v>
      </c>
      <c r="N184">
        <v>1200</v>
      </c>
      <c r="O184">
        <v>1150</v>
      </c>
      <c r="P184">
        <v>0</v>
      </c>
      <c r="Q184">
        <v>4000</v>
      </c>
      <c r="R184" s="9">
        <v>0</v>
      </c>
      <c r="S184">
        <v>0</v>
      </c>
      <c r="T184">
        <v>0</v>
      </c>
      <c r="U184">
        <v>9225</v>
      </c>
      <c r="V184" s="11">
        <f t="shared" si="2"/>
        <v>9225</v>
      </c>
      <c r="W184">
        <v>0</v>
      </c>
      <c r="X184" t="s">
        <v>54</v>
      </c>
      <c r="Y184" s="1" t="s">
        <v>31</v>
      </c>
    </row>
    <row r="185" spans="1:25">
      <c r="A185" t="s">
        <v>642</v>
      </c>
      <c r="B185" t="s">
        <v>643</v>
      </c>
      <c r="C185">
        <v>3046</v>
      </c>
      <c r="D185" t="s">
        <v>644</v>
      </c>
      <c r="E185" t="s">
        <v>40</v>
      </c>
      <c r="G185" s="1" t="s">
        <v>29</v>
      </c>
      <c r="H185" s="1">
        <v>32</v>
      </c>
      <c r="I185" s="1">
        <v>2</v>
      </c>
      <c r="J185">
        <v>0</v>
      </c>
      <c r="K185">
        <v>10</v>
      </c>
      <c r="L185" s="9">
        <v>450</v>
      </c>
      <c r="M185">
        <v>0</v>
      </c>
      <c r="N185">
        <v>1800</v>
      </c>
      <c r="O185">
        <v>1200</v>
      </c>
      <c r="P185">
        <v>0</v>
      </c>
      <c r="Q185">
        <v>2200</v>
      </c>
      <c r="R185" s="9">
        <v>0</v>
      </c>
      <c r="S185">
        <v>0</v>
      </c>
      <c r="T185" s="9">
        <v>0</v>
      </c>
      <c r="U185">
        <v>5660</v>
      </c>
      <c r="V185" s="11">
        <f t="shared" si="2"/>
        <v>5660</v>
      </c>
      <c r="W185">
        <v>0</v>
      </c>
      <c r="X185" t="s">
        <v>54</v>
      </c>
      <c r="Y185" s="1" t="s">
        <v>31</v>
      </c>
    </row>
    <row r="186" spans="1:25">
      <c r="A186" t="s">
        <v>645</v>
      </c>
      <c r="B186" t="s">
        <v>646</v>
      </c>
      <c r="C186">
        <v>4614</v>
      </c>
      <c r="D186" t="s">
        <v>647</v>
      </c>
      <c r="E186" t="s">
        <v>188</v>
      </c>
      <c r="G186" s="1" t="s">
        <v>35</v>
      </c>
      <c r="H186" s="1">
        <v>61</v>
      </c>
      <c r="I186" s="1">
        <v>6</v>
      </c>
      <c r="J186">
        <v>6</v>
      </c>
      <c r="K186">
        <v>3000</v>
      </c>
      <c r="L186">
        <v>15000</v>
      </c>
      <c r="M186">
        <v>150000</v>
      </c>
      <c r="N186">
        <v>85000</v>
      </c>
      <c r="O186">
        <v>128715</v>
      </c>
      <c r="P186">
        <v>0</v>
      </c>
      <c r="Q186">
        <v>1000000</v>
      </c>
      <c r="R186">
        <v>5000</v>
      </c>
      <c r="S186">
        <v>0</v>
      </c>
      <c r="T186">
        <v>0</v>
      </c>
      <c r="U186">
        <v>1386715</v>
      </c>
      <c r="V186" s="11">
        <f t="shared" si="2"/>
        <v>1386715</v>
      </c>
      <c r="W186">
        <v>0</v>
      </c>
      <c r="X186" t="s">
        <v>193</v>
      </c>
      <c r="Y186" s="1" t="s">
        <v>31</v>
      </c>
    </row>
    <row r="187" spans="1:25">
      <c r="A187" t="s">
        <v>645</v>
      </c>
      <c r="B187" t="s">
        <v>648</v>
      </c>
      <c r="C187">
        <v>4614</v>
      </c>
      <c r="D187" t="s">
        <v>649</v>
      </c>
      <c r="E187" t="s">
        <v>278</v>
      </c>
      <c r="G187" s="1" t="s">
        <v>35</v>
      </c>
      <c r="H187" s="1">
        <v>96</v>
      </c>
      <c r="I187" s="1">
        <v>2</v>
      </c>
      <c r="J187">
        <v>1</v>
      </c>
      <c r="K187">
        <v>0</v>
      </c>
      <c r="L187" s="7">
        <v>2000</v>
      </c>
      <c r="M187" s="7">
        <v>3000</v>
      </c>
      <c r="N187" s="7">
        <v>3000</v>
      </c>
      <c r="O187" s="7">
        <v>22000</v>
      </c>
      <c r="P187">
        <v>0</v>
      </c>
      <c r="Q187">
        <v>30000</v>
      </c>
      <c r="R187">
        <v>0</v>
      </c>
      <c r="S187">
        <v>0</v>
      </c>
      <c r="T187">
        <v>0</v>
      </c>
      <c r="U187">
        <v>60000</v>
      </c>
      <c r="V187" s="11">
        <f t="shared" si="2"/>
        <v>60000</v>
      </c>
      <c r="W187">
        <v>0</v>
      </c>
      <c r="X187" s="8" t="s">
        <v>595</v>
      </c>
      <c r="Y187" s="1" t="s">
        <v>31</v>
      </c>
    </row>
    <row r="188" spans="1:25">
      <c r="A188" t="s">
        <v>650</v>
      </c>
      <c r="B188" t="s">
        <v>651</v>
      </c>
      <c r="C188">
        <v>4856</v>
      </c>
      <c r="D188" t="s">
        <v>652</v>
      </c>
      <c r="E188" t="s">
        <v>28</v>
      </c>
      <c r="G188" s="1" t="s">
        <v>35</v>
      </c>
      <c r="H188" s="1">
        <v>62</v>
      </c>
      <c r="I188" s="1">
        <v>12</v>
      </c>
      <c r="J188" s="13">
        <v>0</v>
      </c>
      <c r="K188">
        <v>50</v>
      </c>
      <c r="L188">
        <v>0</v>
      </c>
      <c r="M188">
        <v>0</v>
      </c>
      <c r="N188">
        <v>0</v>
      </c>
      <c r="O188">
        <v>600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650</v>
      </c>
      <c r="V188" s="11">
        <f t="shared" si="2"/>
        <v>650</v>
      </c>
      <c r="W188">
        <v>0</v>
      </c>
      <c r="X188" t="s">
        <v>67</v>
      </c>
      <c r="Y188" s="1" t="s">
        <v>31</v>
      </c>
    </row>
    <row r="189" spans="1:25">
      <c r="A189" t="s">
        <v>650</v>
      </c>
      <c r="B189" t="s">
        <v>653</v>
      </c>
      <c r="C189">
        <v>4856</v>
      </c>
      <c r="D189" t="s">
        <v>654</v>
      </c>
      <c r="E189" t="s">
        <v>163</v>
      </c>
      <c r="F189" t="s">
        <v>655</v>
      </c>
      <c r="G189" s="1" t="s">
        <v>35</v>
      </c>
      <c r="H189" s="1">
        <v>30</v>
      </c>
      <c r="I189" s="1">
        <v>9</v>
      </c>
      <c r="J189" s="13">
        <v>0</v>
      </c>
      <c r="K189">
        <v>0</v>
      </c>
      <c r="L189">
        <v>0</v>
      </c>
      <c r="N189">
        <v>1500</v>
      </c>
      <c r="O189">
        <v>10000</v>
      </c>
      <c r="P189">
        <v>0</v>
      </c>
      <c r="Q189">
        <v>1200</v>
      </c>
      <c r="R189">
        <v>0</v>
      </c>
      <c r="S189">
        <v>0</v>
      </c>
      <c r="T189">
        <v>0</v>
      </c>
      <c r="U189">
        <v>12700</v>
      </c>
      <c r="V189" s="11">
        <f t="shared" si="2"/>
        <v>12700</v>
      </c>
      <c r="W189">
        <v>0</v>
      </c>
      <c r="X189" t="s">
        <v>656</v>
      </c>
      <c r="Y189" s="1" t="s">
        <v>31</v>
      </c>
    </row>
    <row r="190" spans="1:25">
      <c r="A190" t="s">
        <v>657</v>
      </c>
      <c r="B190" t="s">
        <v>658</v>
      </c>
      <c r="C190">
        <v>3135</v>
      </c>
      <c r="D190" t="s">
        <v>659</v>
      </c>
      <c r="E190" t="s">
        <v>28</v>
      </c>
      <c r="G190" s="1" t="s">
        <v>29</v>
      </c>
      <c r="H190" s="1">
        <v>63</v>
      </c>
      <c r="I190" s="1">
        <v>1</v>
      </c>
      <c r="J190">
        <v>1</v>
      </c>
      <c r="K190">
        <v>12000</v>
      </c>
      <c r="L190" s="9">
        <v>1000</v>
      </c>
      <c r="M190">
        <v>2000</v>
      </c>
      <c r="N190" s="9">
        <v>2000</v>
      </c>
      <c r="O190">
        <v>2400</v>
      </c>
      <c r="P190">
        <v>2500</v>
      </c>
      <c r="Q190">
        <v>2400</v>
      </c>
      <c r="R190">
        <v>3200</v>
      </c>
      <c r="S190">
        <v>2500</v>
      </c>
      <c r="T190" s="9">
        <v>0</v>
      </c>
      <c r="U190">
        <v>30000</v>
      </c>
      <c r="V190" s="11">
        <f t="shared" si="2"/>
        <v>30000</v>
      </c>
      <c r="W190">
        <v>0</v>
      </c>
      <c r="X190" t="s">
        <v>46</v>
      </c>
      <c r="Y190" s="1" t="s">
        <v>31</v>
      </c>
    </row>
    <row r="191" spans="1:25">
      <c r="A191" t="s">
        <v>657</v>
      </c>
      <c r="B191" t="s">
        <v>658</v>
      </c>
      <c r="C191">
        <v>3135</v>
      </c>
      <c r="D191" t="s">
        <v>660</v>
      </c>
      <c r="E191" t="s">
        <v>62</v>
      </c>
      <c r="G191" s="1" t="s">
        <v>29</v>
      </c>
      <c r="H191" s="1">
        <v>63</v>
      </c>
      <c r="I191" s="1">
        <v>1</v>
      </c>
      <c r="J191" s="13">
        <v>0</v>
      </c>
      <c r="K191">
        <v>2000</v>
      </c>
      <c r="L191" s="9">
        <v>4000</v>
      </c>
      <c r="M191">
        <v>12000</v>
      </c>
      <c r="N191" s="9">
        <v>3000</v>
      </c>
      <c r="O191" s="9">
        <v>18400</v>
      </c>
      <c r="P191">
        <v>2500</v>
      </c>
      <c r="Q191">
        <v>2400</v>
      </c>
      <c r="R191">
        <v>3200</v>
      </c>
      <c r="S191">
        <v>2500</v>
      </c>
      <c r="T191" s="9">
        <v>0</v>
      </c>
      <c r="U191">
        <v>50000</v>
      </c>
      <c r="V191" s="11">
        <f t="shared" si="2"/>
        <v>50000</v>
      </c>
      <c r="W191">
        <v>0</v>
      </c>
      <c r="X191" t="s">
        <v>46</v>
      </c>
      <c r="Y191" s="1" t="s">
        <v>31</v>
      </c>
    </row>
    <row r="192" spans="1:25">
      <c r="A192" t="s">
        <v>661</v>
      </c>
      <c r="B192" t="s">
        <v>662</v>
      </c>
      <c r="C192">
        <v>7545</v>
      </c>
      <c r="D192" t="s">
        <v>663</v>
      </c>
      <c r="E192" t="s">
        <v>467</v>
      </c>
      <c r="G192" s="1" t="s">
        <v>35</v>
      </c>
      <c r="H192" s="1">
        <v>61</v>
      </c>
      <c r="I192" s="1">
        <v>24</v>
      </c>
      <c r="J192">
        <v>1</v>
      </c>
      <c r="K192">
        <v>200</v>
      </c>
      <c r="L192" s="9">
        <v>2000</v>
      </c>
      <c r="M192">
        <v>0</v>
      </c>
      <c r="N192">
        <v>3000</v>
      </c>
      <c r="O192">
        <v>7000</v>
      </c>
      <c r="P192">
        <v>0</v>
      </c>
      <c r="Q192">
        <v>1600</v>
      </c>
      <c r="R192" s="9">
        <v>0</v>
      </c>
      <c r="S192">
        <v>0</v>
      </c>
      <c r="T192">
        <v>0</v>
      </c>
      <c r="U192">
        <v>13800</v>
      </c>
      <c r="V192" s="11">
        <f t="shared" si="2"/>
        <v>13800</v>
      </c>
      <c r="W192">
        <v>0</v>
      </c>
      <c r="X192" t="s">
        <v>42</v>
      </c>
      <c r="Y192" s="1" t="s">
        <v>31</v>
      </c>
    </row>
    <row r="193" spans="1:25">
      <c r="A193" t="s">
        <v>664</v>
      </c>
      <c r="B193" t="s">
        <v>665</v>
      </c>
      <c r="C193">
        <v>7548</v>
      </c>
      <c r="D193" t="s">
        <v>666</v>
      </c>
      <c r="E193" t="s">
        <v>100</v>
      </c>
      <c r="G193" s="1" t="s">
        <v>29</v>
      </c>
      <c r="H193" s="1">
        <v>54</v>
      </c>
      <c r="I193" s="1">
        <v>4</v>
      </c>
      <c r="J193">
        <v>1</v>
      </c>
      <c r="K193">
        <v>1600</v>
      </c>
      <c r="L193">
        <v>2000</v>
      </c>
      <c r="M193" s="9">
        <v>27400</v>
      </c>
      <c r="N193">
        <v>12000</v>
      </c>
      <c r="O193">
        <v>20000</v>
      </c>
      <c r="P193">
        <v>10000</v>
      </c>
      <c r="Q193">
        <v>5000</v>
      </c>
      <c r="R193">
        <v>12000</v>
      </c>
      <c r="S193">
        <v>10000</v>
      </c>
      <c r="T193" s="9">
        <v>0</v>
      </c>
      <c r="U193">
        <v>100000</v>
      </c>
      <c r="V193" s="11">
        <f t="shared" si="2"/>
        <v>100000</v>
      </c>
      <c r="W193">
        <v>0</v>
      </c>
      <c r="X193" t="s">
        <v>42</v>
      </c>
      <c r="Y193" s="1" t="s">
        <v>31</v>
      </c>
    </row>
    <row r="194" spans="1:25">
      <c r="A194" t="s">
        <v>667</v>
      </c>
      <c r="B194" t="s">
        <v>668</v>
      </c>
      <c r="C194">
        <v>14027</v>
      </c>
      <c r="D194" t="s">
        <v>669</v>
      </c>
      <c r="E194" t="s">
        <v>40</v>
      </c>
      <c r="G194" s="1" t="s">
        <v>29</v>
      </c>
      <c r="H194" s="1">
        <v>38</v>
      </c>
      <c r="I194" s="1">
        <v>4</v>
      </c>
      <c r="J194">
        <v>1</v>
      </c>
      <c r="K194">
        <v>100</v>
      </c>
      <c r="L194" s="9">
        <v>1000</v>
      </c>
      <c r="M194">
        <v>400</v>
      </c>
      <c r="N194">
        <v>0</v>
      </c>
      <c r="O194">
        <v>1000</v>
      </c>
      <c r="P194">
        <v>0</v>
      </c>
      <c r="Q194">
        <v>200</v>
      </c>
      <c r="R194">
        <v>400</v>
      </c>
      <c r="S194">
        <v>200</v>
      </c>
      <c r="T194" s="9">
        <v>0</v>
      </c>
      <c r="U194">
        <v>3300</v>
      </c>
      <c r="V194" s="11">
        <f t="shared" si="2"/>
        <v>3300</v>
      </c>
      <c r="W194">
        <v>0</v>
      </c>
      <c r="X194" t="s">
        <v>42</v>
      </c>
      <c r="Y194" s="1" t="s">
        <v>31</v>
      </c>
    </row>
    <row r="195" spans="1:25">
      <c r="A195" t="s">
        <v>670</v>
      </c>
      <c r="B195" t="s">
        <v>671</v>
      </c>
      <c r="C195">
        <v>14036</v>
      </c>
      <c r="D195" t="s">
        <v>672</v>
      </c>
      <c r="E195" t="s">
        <v>259</v>
      </c>
      <c r="G195" s="1" t="s">
        <v>29</v>
      </c>
      <c r="H195" s="1">
        <v>37</v>
      </c>
      <c r="I195" s="1">
        <v>12</v>
      </c>
      <c r="J195" s="8">
        <v>0</v>
      </c>
      <c r="K195">
        <v>700</v>
      </c>
      <c r="L195" s="9">
        <v>2000</v>
      </c>
      <c r="M195">
        <v>2000</v>
      </c>
      <c r="N195">
        <v>3000</v>
      </c>
      <c r="O195">
        <v>2000</v>
      </c>
      <c r="P195">
        <v>10000</v>
      </c>
      <c r="Q195">
        <v>2000</v>
      </c>
      <c r="R195">
        <v>800</v>
      </c>
      <c r="S195">
        <v>0</v>
      </c>
      <c r="T195" s="9">
        <v>0</v>
      </c>
      <c r="U195">
        <v>22500</v>
      </c>
      <c r="V195" s="11">
        <f t="shared" ref="V195:V252" si="3">(K195+L195+M195+N195+O195+P195+Q195+R195+S195+T195)</f>
        <v>22500</v>
      </c>
      <c r="W195">
        <v>0</v>
      </c>
      <c r="X195" t="s">
        <v>42</v>
      </c>
      <c r="Y195" s="1" t="s">
        <v>31</v>
      </c>
    </row>
    <row r="196" spans="1:25">
      <c r="A196" t="s">
        <v>673</v>
      </c>
      <c r="B196" t="s">
        <v>674</v>
      </c>
      <c r="C196">
        <v>10798</v>
      </c>
      <c r="D196" t="s">
        <v>675</v>
      </c>
      <c r="E196" t="s">
        <v>50</v>
      </c>
      <c r="G196" s="1" t="s">
        <v>29</v>
      </c>
      <c r="H196" s="1">
        <v>45</v>
      </c>
      <c r="I196" s="1">
        <v>12</v>
      </c>
      <c r="J196">
        <v>2</v>
      </c>
      <c r="K196">
        <v>1600</v>
      </c>
      <c r="L196">
        <v>800</v>
      </c>
      <c r="M196">
        <v>7000</v>
      </c>
      <c r="N196">
        <v>5000</v>
      </c>
      <c r="O196">
        <v>31000</v>
      </c>
      <c r="Q196">
        <v>6000</v>
      </c>
      <c r="R196">
        <v>2200</v>
      </c>
      <c r="S196" s="9">
        <v>5000</v>
      </c>
      <c r="T196">
        <v>0</v>
      </c>
      <c r="U196">
        <v>58600</v>
      </c>
      <c r="V196" s="11">
        <f t="shared" si="3"/>
        <v>58600</v>
      </c>
      <c r="W196">
        <v>0</v>
      </c>
      <c r="X196" t="s">
        <v>585</v>
      </c>
      <c r="Y196" s="1" t="s">
        <v>31</v>
      </c>
    </row>
    <row r="197" spans="1:25">
      <c r="A197" t="s">
        <v>676</v>
      </c>
      <c r="B197" t="s">
        <v>677</v>
      </c>
      <c r="C197">
        <v>10799</v>
      </c>
      <c r="D197" t="s">
        <v>678</v>
      </c>
      <c r="E197" t="s">
        <v>299</v>
      </c>
      <c r="F197" t="s">
        <v>679</v>
      </c>
      <c r="G197" s="1" t="s">
        <v>29</v>
      </c>
      <c r="H197" s="1">
        <v>49</v>
      </c>
      <c r="I197" s="1">
        <v>4</v>
      </c>
      <c r="J197">
        <v>1</v>
      </c>
      <c r="K197">
        <v>1500</v>
      </c>
      <c r="L197" s="9">
        <v>1000</v>
      </c>
      <c r="M197" s="9">
        <v>4000</v>
      </c>
      <c r="N197">
        <v>3500</v>
      </c>
      <c r="O197">
        <v>5600</v>
      </c>
      <c r="P197">
        <v>0</v>
      </c>
      <c r="Q197">
        <v>10800</v>
      </c>
      <c r="R197">
        <v>3500</v>
      </c>
      <c r="S197">
        <v>0</v>
      </c>
      <c r="T197" s="9">
        <v>0</v>
      </c>
      <c r="U197">
        <v>29900</v>
      </c>
      <c r="V197" s="11">
        <f t="shared" si="3"/>
        <v>29900</v>
      </c>
      <c r="W197">
        <v>0</v>
      </c>
      <c r="X197" t="s">
        <v>54</v>
      </c>
      <c r="Y197" s="1" t="s">
        <v>31</v>
      </c>
    </row>
    <row r="198" spans="1:25">
      <c r="A198" t="s">
        <v>680</v>
      </c>
      <c r="B198" t="s">
        <v>681</v>
      </c>
      <c r="C198">
        <v>10801</v>
      </c>
      <c r="D198" t="s">
        <v>682</v>
      </c>
      <c r="E198" t="s">
        <v>66</v>
      </c>
      <c r="G198" s="1" t="s">
        <v>29</v>
      </c>
      <c r="H198" s="1">
        <v>41</v>
      </c>
      <c r="I198" s="1">
        <v>4</v>
      </c>
      <c r="J198">
        <v>1</v>
      </c>
      <c r="K198">
        <v>1600</v>
      </c>
      <c r="L198" s="9">
        <v>2000</v>
      </c>
      <c r="M198" s="9">
        <v>4000</v>
      </c>
      <c r="N198" s="9">
        <v>4000</v>
      </c>
      <c r="O198" s="9">
        <v>150000</v>
      </c>
      <c r="P198" s="9">
        <v>0</v>
      </c>
      <c r="Q198">
        <v>12000</v>
      </c>
      <c r="R198">
        <v>10000</v>
      </c>
      <c r="S198">
        <v>0</v>
      </c>
      <c r="T198" s="9">
        <v>0</v>
      </c>
      <c r="U198">
        <v>183600</v>
      </c>
      <c r="V198" s="11">
        <f t="shared" si="3"/>
        <v>183600</v>
      </c>
      <c r="W198">
        <v>0</v>
      </c>
      <c r="X198" t="s">
        <v>42</v>
      </c>
      <c r="Y198" s="1" t="s">
        <v>31</v>
      </c>
    </row>
    <row r="199" spans="1:25">
      <c r="A199" t="s">
        <v>683</v>
      </c>
      <c r="B199" t="s">
        <v>684</v>
      </c>
      <c r="C199">
        <v>10802</v>
      </c>
      <c r="D199" t="s">
        <v>685</v>
      </c>
      <c r="E199" t="s">
        <v>163</v>
      </c>
      <c r="F199" t="s">
        <v>686</v>
      </c>
      <c r="G199" s="1" t="s">
        <v>29</v>
      </c>
      <c r="H199" s="1">
        <v>72</v>
      </c>
      <c r="I199" s="1">
        <v>2</v>
      </c>
      <c r="J199">
        <v>1</v>
      </c>
      <c r="K199">
        <v>1600</v>
      </c>
      <c r="L199" s="9">
        <v>3000</v>
      </c>
      <c r="M199">
        <v>5000</v>
      </c>
      <c r="N199" s="9">
        <v>10000</v>
      </c>
      <c r="O199">
        <v>15000</v>
      </c>
      <c r="P199">
        <v>0</v>
      </c>
      <c r="Q199">
        <v>4000</v>
      </c>
      <c r="R199" s="9">
        <v>8000</v>
      </c>
      <c r="S199" s="9">
        <v>4000</v>
      </c>
      <c r="T199" s="9">
        <v>0</v>
      </c>
      <c r="U199">
        <v>50600</v>
      </c>
      <c r="V199" s="11">
        <f t="shared" si="3"/>
        <v>50600</v>
      </c>
      <c r="W199">
        <v>0</v>
      </c>
      <c r="X199" t="s">
        <v>54</v>
      </c>
      <c r="Y199" s="1" t="s">
        <v>31</v>
      </c>
    </row>
    <row r="200" spans="1:25">
      <c r="A200" t="s">
        <v>687</v>
      </c>
      <c r="B200" t="s">
        <v>688</v>
      </c>
      <c r="C200">
        <v>10805</v>
      </c>
      <c r="D200" t="s">
        <v>689</v>
      </c>
      <c r="E200" t="s">
        <v>28</v>
      </c>
      <c r="G200" s="1" t="s">
        <v>29</v>
      </c>
      <c r="H200" s="1">
        <v>49</v>
      </c>
      <c r="I200" s="1">
        <v>12</v>
      </c>
      <c r="J200">
        <v>1</v>
      </c>
      <c r="K200">
        <v>5000</v>
      </c>
      <c r="L200" s="9">
        <v>1000</v>
      </c>
      <c r="M200">
        <v>3200</v>
      </c>
      <c r="N200">
        <v>8000</v>
      </c>
      <c r="O200" s="9">
        <v>15500</v>
      </c>
      <c r="P200">
        <v>15000</v>
      </c>
      <c r="Q200">
        <v>10000</v>
      </c>
      <c r="R200">
        <v>0</v>
      </c>
      <c r="S200">
        <v>0</v>
      </c>
      <c r="T200" s="9">
        <v>0</v>
      </c>
      <c r="U200">
        <v>57700</v>
      </c>
      <c r="V200" s="11">
        <f t="shared" si="3"/>
        <v>57700</v>
      </c>
      <c r="W200">
        <v>0</v>
      </c>
      <c r="X200" t="s">
        <v>42</v>
      </c>
      <c r="Y200" s="1" t="s">
        <v>31</v>
      </c>
    </row>
    <row r="201" spans="1:25">
      <c r="A201" t="s">
        <v>690</v>
      </c>
      <c r="B201" t="s">
        <v>691</v>
      </c>
      <c r="C201">
        <v>10884</v>
      </c>
      <c r="D201" t="s">
        <v>692</v>
      </c>
      <c r="E201" t="s">
        <v>66</v>
      </c>
      <c r="G201" s="1" t="s">
        <v>29</v>
      </c>
      <c r="H201" s="1">
        <v>24</v>
      </c>
      <c r="I201" s="1">
        <v>3</v>
      </c>
      <c r="J201">
        <v>1</v>
      </c>
      <c r="K201">
        <v>500</v>
      </c>
      <c r="L201" s="9">
        <v>5000</v>
      </c>
      <c r="M201">
        <v>12000</v>
      </c>
      <c r="N201">
        <v>15000</v>
      </c>
      <c r="O201">
        <v>100000</v>
      </c>
      <c r="P201">
        <v>242700</v>
      </c>
      <c r="Q201">
        <v>10800</v>
      </c>
      <c r="R201">
        <v>33000</v>
      </c>
      <c r="S201" s="9">
        <v>15000</v>
      </c>
      <c r="T201" s="9">
        <v>0</v>
      </c>
      <c r="U201">
        <v>434000</v>
      </c>
      <c r="V201" s="11">
        <f t="shared" si="3"/>
        <v>434000</v>
      </c>
      <c r="W201">
        <v>0</v>
      </c>
      <c r="X201" t="s">
        <v>42</v>
      </c>
      <c r="Y201" s="1" t="s">
        <v>31</v>
      </c>
    </row>
    <row r="202" spans="1:25">
      <c r="A202" t="s">
        <v>693</v>
      </c>
      <c r="B202" t="s">
        <v>694</v>
      </c>
      <c r="C202">
        <v>10885</v>
      </c>
      <c r="D202" t="s">
        <v>695</v>
      </c>
      <c r="E202" t="s">
        <v>66</v>
      </c>
      <c r="G202" s="1" t="s">
        <v>29</v>
      </c>
      <c r="H202" s="1">
        <v>27</v>
      </c>
      <c r="I202" s="1">
        <v>4</v>
      </c>
      <c r="J202">
        <v>1</v>
      </c>
      <c r="K202">
        <v>850</v>
      </c>
      <c r="L202" s="9">
        <v>5000</v>
      </c>
      <c r="M202">
        <v>12000</v>
      </c>
      <c r="N202">
        <v>22000</v>
      </c>
      <c r="O202">
        <v>38500</v>
      </c>
      <c r="P202">
        <v>10000</v>
      </c>
      <c r="Q202">
        <v>3000</v>
      </c>
      <c r="R202">
        <v>6000</v>
      </c>
      <c r="S202" s="9">
        <v>5000</v>
      </c>
      <c r="T202" s="9">
        <v>0</v>
      </c>
      <c r="U202">
        <v>102350</v>
      </c>
      <c r="V202" s="11">
        <f t="shared" si="3"/>
        <v>102350</v>
      </c>
      <c r="W202">
        <v>0</v>
      </c>
      <c r="X202" t="s">
        <v>30</v>
      </c>
      <c r="Y202" s="1" t="s">
        <v>31</v>
      </c>
    </row>
    <row r="203" spans="1:25">
      <c r="A203" t="s">
        <v>696</v>
      </c>
      <c r="B203" t="s">
        <v>697</v>
      </c>
      <c r="C203">
        <v>10886</v>
      </c>
      <c r="D203" t="s">
        <v>698</v>
      </c>
      <c r="E203" t="s">
        <v>150</v>
      </c>
      <c r="G203" s="1" t="s">
        <v>29</v>
      </c>
      <c r="H203" s="1">
        <v>61</v>
      </c>
      <c r="I203" s="1">
        <v>2</v>
      </c>
      <c r="J203" s="8">
        <v>0</v>
      </c>
      <c r="K203">
        <v>1500</v>
      </c>
      <c r="L203" s="9">
        <v>7500</v>
      </c>
      <c r="M203">
        <v>5000</v>
      </c>
      <c r="N203">
        <v>7500</v>
      </c>
      <c r="O203">
        <v>18000</v>
      </c>
      <c r="P203">
        <v>10000</v>
      </c>
      <c r="Q203">
        <v>10000</v>
      </c>
      <c r="R203">
        <v>5500</v>
      </c>
      <c r="S203">
        <v>0</v>
      </c>
      <c r="T203" s="9">
        <v>0</v>
      </c>
      <c r="U203">
        <v>65000</v>
      </c>
      <c r="V203" s="11">
        <f t="shared" si="3"/>
        <v>65000</v>
      </c>
      <c r="W203">
        <v>0</v>
      </c>
      <c r="X203" t="s">
        <v>699</v>
      </c>
      <c r="Y203" s="1" t="s">
        <v>31</v>
      </c>
    </row>
    <row r="204" spans="1:25">
      <c r="A204" t="s">
        <v>700</v>
      </c>
      <c r="B204" t="s">
        <v>701</v>
      </c>
      <c r="C204">
        <v>10887</v>
      </c>
      <c r="D204" t="s">
        <v>702</v>
      </c>
      <c r="E204" t="s">
        <v>163</v>
      </c>
      <c r="F204" t="s">
        <v>703</v>
      </c>
      <c r="G204" s="1" t="s">
        <v>35</v>
      </c>
      <c r="H204" s="1">
        <v>46</v>
      </c>
      <c r="I204" s="1">
        <v>2</v>
      </c>
      <c r="J204">
        <v>1</v>
      </c>
      <c r="K204">
        <v>10</v>
      </c>
      <c r="L204" s="9">
        <v>2000</v>
      </c>
      <c r="M204">
        <v>2000</v>
      </c>
      <c r="N204">
        <v>0</v>
      </c>
      <c r="O204">
        <v>2683</v>
      </c>
      <c r="P204">
        <v>150</v>
      </c>
      <c r="Q204">
        <v>4000</v>
      </c>
      <c r="R204">
        <v>5400</v>
      </c>
      <c r="S204">
        <v>0</v>
      </c>
      <c r="T204" s="9">
        <v>0</v>
      </c>
      <c r="U204">
        <v>16243</v>
      </c>
      <c r="V204" s="11">
        <f t="shared" si="3"/>
        <v>16243</v>
      </c>
      <c r="W204">
        <v>0</v>
      </c>
      <c r="X204" t="s">
        <v>42</v>
      </c>
      <c r="Y204" s="1" t="s">
        <v>31</v>
      </c>
    </row>
    <row r="205" spans="1:25">
      <c r="A205" t="s">
        <v>704</v>
      </c>
      <c r="B205" t="s">
        <v>705</v>
      </c>
      <c r="C205">
        <v>9085</v>
      </c>
      <c r="D205" t="s">
        <v>706</v>
      </c>
      <c r="E205" t="s">
        <v>50</v>
      </c>
      <c r="G205" s="1" t="s">
        <v>35</v>
      </c>
      <c r="H205" s="1">
        <v>51</v>
      </c>
      <c r="I205" s="1">
        <v>12</v>
      </c>
      <c r="J205">
        <v>2</v>
      </c>
      <c r="K205">
        <v>1200</v>
      </c>
      <c r="L205">
        <v>25000</v>
      </c>
      <c r="M205">
        <v>60000</v>
      </c>
      <c r="N205">
        <v>15000</v>
      </c>
      <c r="O205">
        <v>75000</v>
      </c>
      <c r="P205" s="9">
        <v>4000</v>
      </c>
      <c r="Q205">
        <v>10000</v>
      </c>
      <c r="R205">
        <v>5000</v>
      </c>
      <c r="S205">
        <v>5000</v>
      </c>
      <c r="T205" s="9">
        <v>0</v>
      </c>
      <c r="U205">
        <v>200200</v>
      </c>
      <c r="V205" s="11">
        <f t="shared" si="3"/>
        <v>200200</v>
      </c>
      <c r="W205">
        <v>0</v>
      </c>
      <c r="X205" t="s">
        <v>42</v>
      </c>
      <c r="Y205" s="1" t="s">
        <v>31</v>
      </c>
    </row>
    <row r="206" spans="1:25">
      <c r="A206" t="s">
        <v>707</v>
      </c>
      <c r="B206" t="s">
        <v>708</v>
      </c>
      <c r="C206">
        <v>9135</v>
      </c>
      <c r="D206" t="s">
        <v>709</v>
      </c>
      <c r="E206" t="s">
        <v>115</v>
      </c>
      <c r="G206" s="1" t="s">
        <v>35</v>
      </c>
      <c r="H206" s="1">
        <v>26</v>
      </c>
      <c r="I206" s="1">
        <v>5</v>
      </c>
      <c r="J206">
        <v>2</v>
      </c>
      <c r="K206">
        <v>500</v>
      </c>
      <c r="L206" s="9">
        <v>10000</v>
      </c>
      <c r="M206">
        <v>5000</v>
      </c>
      <c r="N206">
        <v>4000</v>
      </c>
      <c r="O206" s="9">
        <v>18000</v>
      </c>
      <c r="P206">
        <v>0</v>
      </c>
      <c r="Q206">
        <v>3000</v>
      </c>
      <c r="R206">
        <v>5000</v>
      </c>
      <c r="S206">
        <v>5000</v>
      </c>
      <c r="T206">
        <v>0</v>
      </c>
      <c r="U206">
        <v>50500</v>
      </c>
      <c r="V206" s="11">
        <f t="shared" si="3"/>
        <v>50500</v>
      </c>
      <c r="W206">
        <v>0</v>
      </c>
      <c r="X206" t="s">
        <v>193</v>
      </c>
      <c r="Y206" s="1" t="s">
        <v>31</v>
      </c>
    </row>
    <row r="207" spans="1:25">
      <c r="A207" t="s">
        <v>710</v>
      </c>
      <c r="B207" t="s">
        <v>711</v>
      </c>
      <c r="C207">
        <v>11566</v>
      </c>
      <c r="D207" t="s">
        <v>712</v>
      </c>
      <c r="E207" t="s">
        <v>259</v>
      </c>
      <c r="G207" s="1" t="s">
        <v>29</v>
      </c>
      <c r="H207" s="1">
        <v>60</v>
      </c>
      <c r="I207" s="1">
        <v>3</v>
      </c>
      <c r="J207">
        <v>1</v>
      </c>
      <c r="L207">
        <v>1000</v>
      </c>
      <c r="M207">
        <v>8000</v>
      </c>
      <c r="N207">
        <v>6000</v>
      </c>
      <c r="O207">
        <v>30000</v>
      </c>
      <c r="Q207">
        <v>5000</v>
      </c>
      <c r="U207">
        <v>50000</v>
      </c>
      <c r="V207" s="11">
        <f t="shared" si="3"/>
        <v>50000</v>
      </c>
      <c r="W207">
        <v>0</v>
      </c>
      <c r="X207" t="s">
        <v>54</v>
      </c>
      <c r="Y207" s="1" t="s">
        <v>31</v>
      </c>
    </row>
    <row r="208" spans="1:25">
      <c r="A208" t="s">
        <v>713</v>
      </c>
      <c r="B208" t="s">
        <v>714</v>
      </c>
      <c r="C208">
        <v>11593</v>
      </c>
      <c r="D208" t="s">
        <v>715</v>
      </c>
      <c r="E208" t="s">
        <v>150</v>
      </c>
      <c r="G208" s="1" t="s">
        <v>35</v>
      </c>
      <c r="H208" s="1">
        <v>68</v>
      </c>
      <c r="I208" s="1">
        <v>12</v>
      </c>
      <c r="J208">
        <v>1</v>
      </c>
      <c r="K208"/>
      <c r="L208" s="9">
        <v>1000</v>
      </c>
      <c r="M208" s="9">
        <v>4000</v>
      </c>
      <c r="N208">
        <v>5000</v>
      </c>
      <c r="O208">
        <v>10000</v>
      </c>
      <c r="P208">
        <v>0</v>
      </c>
      <c r="Q208">
        <v>1500</v>
      </c>
      <c r="R208">
        <v>3000</v>
      </c>
      <c r="S208">
        <v>0</v>
      </c>
      <c r="T208">
        <v>0</v>
      </c>
      <c r="U208">
        <v>24505</v>
      </c>
      <c r="V208" s="11">
        <f t="shared" si="3"/>
        <v>24500</v>
      </c>
      <c r="W208">
        <v>0</v>
      </c>
      <c r="X208" t="s">
        <v>42</v>
      </c>
      <c r="Y208" s="1" t="s">
        <v>31</v>
      </c>
    </row>
    <row r="209" spans="1:25">
      <c r="A209" t="s">
        <v>716</v>
      </c>
      <c r="B209" t="s">
        <v>717</v>
      </c>
      <c r="C209">
        <v>14109</v>
      </c>
      <c r="D209" t="s">
        <v>718</v>
      </c>
      <c r="E209" t="s">
        <v>28</v>
      </c>
      <c r="G209" s="1" t="s">
        <v>35</v>
      </c>
      <c r="H209" s="1">
        <v>54</v>
      </c>
      <c r="I209" s="1">
        <v>5</v>
      </c>
      <c r="J209" s="8">
        <v>0</v>
      </c>
      <c r="L209">
        <v>1000</v>
      </c>
      <c r="O209">
        <v>14000</v>
      </c>
      <c r="U209">
        <v>15000</v>
      </c>
      <c r="V209" s="11">
        <f t="shared" si="3"/>
        <v>15000</v>
      </c>
      <c r="W209">
        <v>0</v>
      </c>
      <c r="X209" t="s">
        <v>54</v>
      </c>
      <c r="Y209" s="1" t="s">
        <v>31</v>
      </c>
    </row>
    <row r="210" spans="1:25">
      <c r="A210" t="s">
        <v>719</v>
      </c>
      <c r="B210" t="s">
        <v>720</v>
      </c>
      <c r="C210">
        <v>12264</v>
      </c>
      <c r="D210" t="s">
        <v>721</v>
      </c>
      <c r="E210" t="s">
        <v>66</v>
      </c>
      <c r="G210" s="1" t="s">
        <v>35</v>
      </c>
      <c r="H210" s="1">
        <v>76</v>
      </c>
      <c r="I210" s="1">
        <v>2</v>
      </c>
      <c r="J210">
        <v>2</v>
      </c>
      <c r="K210">
        <v>0</v>
      </c>
      <c r="L210">
        <v>1400</v>
      </c>
      <c r="M210">
        <v>20000</v>
      </c>
      <c r="N210">
        <v>30000</v>
      </c>
      <c r="O210">
        <v>40000</v>
      </c>
      <c r="P210">
        <v>23000</v>
      </c>
      <c r="Q210">
        <v>25000</v>
      </c>
      <c r="R210">
        <v>10000</v>
      </c>
      <c r="S210">
        <v>24000</v>
      </c>
      <c r="T210">
        <v>0</v>
      </c>
      <c r="U210">
        <v>173400</v>
      </c>
      <c r="V210" s="11">
        <f t="shared" si="3"/>
        <v>173400</v>
      </c>
      <c r="W210">
        <v>0</v>
      </c>
      <c r="X210" t="s">
        <v>42</v>
      </c>
      <c r="Y210" s="1" t="s">
        <v>31</v>
      </c>
    </row>
    <row r="211" spans="1:25">
      <c r="A211" t="s">
        <v>719</v>
      </c>
      <c r="B211" t="s">
        <v>722</v>
      </c>
      <c r="C211">
        <v>12264</v>
      </c>
      <c r="D211" t="s">
        <v>723</v>
      </c>
      <c r="E211" t="s">
        <v>66</v>
      </c>
      <c r="G211" s="1" t="s">
        <v>29</v>
      </c>
      <c r="H211" s="1">
        <v>67</v>
      </c>
      <c r="I211" s="1">
        <v>3</v>
      </c>
      <c r="J211">
        <v>1</v>
      </c>
      <c r="K211">
        <v>0</v>
      </c>
      <c r="L211">
        <v>700</v>
      </c>
      <c r="M211">
        <v>12500</v>
      </c>
      <c r="N211">
        <v>12500</v>
      </c>
      <c r="O211">
        <v>16000</v>
      </c>
      <c r="P211">
        <v>10000</v>
      </c>
      <c r="Q211">
        <v>18000</v>
      </c>
      <c r="R211">
        <v>5000</v>
      </c>
      <c r="S211">
        <v>5000</v>
      </c>
      <c r="T211">
        <v>0</v>
      </c>
      <c r="U211">
        <v>79700</v>
      </c>
      <c r="V211" s="11">
        <f t="shared" si="3"/>
        <v>79700</v>
      </c>
      <c r="W211">
        <v>0</v>
      </c>
      <c r="X211" t="s">
        <v>42</v>
      </c>
      <c r="Y211" s="1" t="s">
        <v>31</v>
      </c>
    </row>
    <row r="212" spans="1:25">
      <c r="A212" t="s">
        <v>724</v>
      </c>
      <c r="B212" t="s">
        <v>725</v>
      </c>
      <c r="C212">
        <v>2221</v>
      </c>
      <c r="D212" t="s">
        <v>726</v>
      </c>
      <c r="E212" t="s">
        <v>78</v>
      </c>
      <c r="G212" s="1" t="s">
        <v>29</v>
      </c>
      <c r="H212" s="1">
        <v>73</v>
      </c>
      <c r="I212" s="1">
        <v>6</v>
      </c>
      <c r="J212">
        <v>1</v>
      </c>
      <c r="K212">
        <v>2000</v>
      </c>
      <c r="L212" s="9">
        <v>5000</v>
      </c>
      <c r="M212">
        <v>15000</v>
      </c>
      <c r="N212">
        <v>2500</v>
      </c>
      <c r="O212" s="9">
        <v>80000</v>
      </c>
      <c r="P212" s="9">
        <v>16000</v>
      </c>
      <c r="Q212">
        <v>10000</v>
      </c>
      <c r="R212">
        <v>15000</v>
      </c>
      <c r="S212">
        <v>5000</v>
      </c>
      <c r="T212" s="9">
        <v>0</v>
      </c>
      <c r="U212">
        <v>150500</v>
      </c>
      <c r="V212" s="18">
        <f t="shared" si="3"/>
        <v>150500</v>
      </c>
      <c r="W212">
        <v>0</v>
      </c>
      <c r="X212" t="s">
        <v>699</v>
      </c>
      <c r="Y212" s="1" t="s">
        <v>116</v>
      </c>
    </row>
    <row r="213" spans="1:25">
      <c r="A213" t="s">
        <v>727</v>
      </c>
      <c r="B213" t="s">
        <v>728</v>
      </c>
      <c r="C213">
        <v>3133</v>
      </c>
      <c r="D213" t="s">
        <v>729</v>
      </c>
      <c r="E213" t="s">
        <v>28</v>
      </c>
      <c r="G213" s="1" t="s">
        <v>29</v>
      </c>
      <c r="H213" s="1">
        <v>61</v>
      </c>
      <c r="I213" s="1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6000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>
        <v>6000</v>
      </c>
      <c r="V213" s="11">
        <f t="shared" si="3"/>
        <v>6000</v>
      </c>
      <c r="W213">
        <v>0</v>
      </c>
      <c r="X213" t="s">
        <v>492</v>
      </c>
      <c r="Y213" s="1" t="s">
        <v>116</v>
      </c>
    </row>
    <row r="214" spans="1:25">
      <c r="A214" t="s">
        <v>730</v>
      </c>
      <c r="B214" t="s">
        <v>731</v>
      </c>
      <c r="C214">
        <v>4496</v>
      </c>
      <c r="D214" t="s">
        <v>732</v>
      </c>
      <c r="E214" t="s">
        <v>62</v>
      </c>
      <c r="G214" s="1" t="s">
        <v>29</v>
      </c>
      <c r="H214" s="1">
        <v>51</v>
      </c>
      <c r="I214" s="1">
        <v>4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>
        <v>0</v>
      </c>
      <c r="V214" s="11">
        <f t="shared" si="3"/>
        <v>0</v>
      </c>
      <c r="W214">
        <v>0</v>
      </c>
      <c r="X214" t="s">
        <v>733</v>
      </c>
      <c r="Y214" s="1" t="s">
        <v>116</v>
      </c>
    </row>
    <row r="215" spans="1:25">
      <c r="A215" t="s">
        <v>734</v>
      </c>
      <c r="B215" t="s">
        <v>735</v>
      </c>
      <c r="C215">
        <v>1991</v>
      </c>
      <c r="D215" t="s">
        <v>736</v>
      </c>
      <c r="E215" t="s">
        <v>28</v>
      </c>
      <c r="G215" s="1" t="s">
        <v>29</v>
      </c>
      <c r="H215" s="1">
        <v>47</v>
      </c>
      <c r="I215" s="1">
        <v>6</v>
      </c>
      <c r="J215">
        <v>2</v>
      </c>
      <c r="K215">
        <v>3600</v>
      </c>
      <c r="L215" s="9">
        <v>1000</v>
      </c>
      <c r="M215">
        <v>500</v>
      </c>
      <c r="N215">
        <v>0</v>
      </c>
      <c r="O215">
        <v>4745</v>
      </c>
      <c r="P215" s="9">
        <v>500</v>
      </c>
      <c r="Q215">
        <v>150</v>
      </c>
      <c r="R215">
        <v>0</v>
      </c>
      <c r="T215">
        <v>0</v>
      </c>
      <c r="U215">
        <v>10495</v>
      </c>
      <c r="V215" s="11">
        <f t="shared" si="3"/>
        <v>10495</v>
      </c>
      <c r="W215">
        <v>0</v>
      </c>
      <c r="X215" t="s">
        <v>54</v>
      </c>
      <c r="Y215" s="1" t="s">
        <v>116</v>
      </c>
    </row>
    <row r="216" spans="1:25">
      <c r="A216" t="s">
        <v>737</v>
      </c>
      <c r="B216" t="s">
        <v>738</v>
      </c>
      <c r="C216">
        <v>7592</v>
      </c>
      <c r="D216" t="s">
        <v>739</v>
      </c>
      <c r="E216" t="s">
        <v>78</v>
      </c>
      <c r="G216" s="1" t="s">
        <v>35</v>
      </c>
      <c r="H216" s="1">
        <v>79</v>
      </c>
      <c r="I216" s="1">
        <v>4</v>
      </c>
      <c r="J216">
        <v>1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12">
        <f t="shared" si="3"/>
        <v>0</v>
      </c>
      <c r="W216">
        <v>0</v>
      </c>
      <c r="X216" t="s">
        <v>345</v>
      </c>
      <c r="Y216" s="1" t="s">
        <v>116</v>
      </c>
    </row>
    <row r="217" spans="1:25">
      <c r="A217" t="s">
        <v>740</v>
      </c>
      <c r="B217" t="s">
        <v>741</v>
      </c>
      <c r="C217">
        <v>10796</v>
      </c>
      <c r="D217" t="s">
        <v>742</v>
      </c>
      <c r="E217" t="s">
        <v>163</v>
      </c>
      <c r="F217" t="s">
        <v>743</v>
      </c>
      <c r="G217" s="1" t="s">
        <v>29</v>
      </c>
      <c r="H217" s="1">
        <v>58</v>
      </c>
      <c r="I217" s="1">
        <v>2</v>
      </c>
      <c r="J217">
        <v>1</v>
      </c>
      <c r="K217">
        <v>4000</v>
      </c>
      <c r="L217">
        <v>80000</v>
      </c>
      <c r="M217" s="9">
        <v>10000</v>
      </c>
      <c r="N217">
        <v>6000</v>
      </c>
      <c r="O217">
        <v>15000</v>
      </c>
      <c r="P217">
        <v>20000</v>
      </c>
      <c r="Q217">
        <v>10000</v>
      </c>
      <c r="R217">
        <v>5000</v>
      </c>
      <c r="S217">
        <v>2500</v>
      </c>
      <c r="T217" s="9">
        <v>0</v>
      </c>
      <c r="U217">
        <v>152500</v>
      </c>
      <c r="V217" s="11">
        <f t="shared" si="3"/>
        <v>152500</v>
      </c>
      <c r="W217">
        <v>0</v>
      </c>
      <c r="X217" t="s">
        <v>227</v>
      </c>
      <c r="Y217" s="1" t="s">
        <v>116</v>
      </c>
    </row>
    <row r="218" spans="1:25">
      <c r="A218" t="s">
        <v>744</v>
      </c>
      <c r="B218" t="s">
        <v>745</v>
      </c>
      <c r="C218">
        <v>10797</v>
      </c>
      <c r="D218" t="s">
        <v>746</v>
      </c>
      <c r="E218" t="s">
        <v>71</v>
      </c>
      <c r="F218" t="s">
        <v>747</v>
      </c>
      <c r="G218" s="1" t="s">
        <v>29</v>
      </c>
      <c r="H218" s="1">
        <v>55</v>
      </c>
      <c r="I218" s="1">
        <v>4</v>
      </c>
      <c r="J218">
        <v>2</v>
      </c>
      <c r="K218">
        <v>0</v>
      </c>
      <c r="L218" s="9">
        <v>5000</v>
      </c>
      <c r="M218">
        <v>5000</v>
      </c>
      <c r="N218">
        <v>6500</v>
      </c>
      <c r="O218">
        <v>18000</v>
      </c>
      <c r="P218">
        <v>10000</v>
      </c>
      <c r="Q218">
        <v>4000</v>
      </c>
      <c r="R218">
        <v>2500</v>
      </c>
      <c r="S218">
        <v>1600</v>
      </c>
      <c r="T218" s="9">
        <v>0</v>
      </c>
      <c r="U218">
        <v>52600</v>
      </c>
      <c r="V218" s="11">
        <f t="shared" si="3"/>
        <v>52600</v>
      </c>
      <c r="W218">
        <v>0</v>
      </c>
      <c r="X218" t="s">
        <v>227</v>
      </c>
      <c r="Y218" s="1" t="s">
        <v>116</v>
      </c>
    </row>
    <row r="219" spans="1:25">
      <c r="A219" t="s">
        <v>744</v>
      </c>
      <c r="B219" t="s">
        <v>748</v>
      </c>
      <c r="C219">
        <v>10797</v>
      </c>
      <c r="D219" t="s">
        <v>749</v>
      </c>
      <c r="E219" t="s">
        <v>259</v>
      </c>
      <c r="F219" t="s">
        <v>750</v>
      </c>
      <c r="G219" s="1" t="s">
        <v>29</v>
      </c>
      <c r="H219" s="1">
        <v>33</v>
      </c>
      <c r="I219" s="1">
        <v>12</v>
      </c>
      <c r="J219">
        <v>1</v>
      </c>
      <c r="K219">
        <v>6000</v>
      </c>
      <c r="L219" s="9">
        <v>3000</v>
      </c>
      <c r="M219">
        <v>12000</v>
      </c>
      <c r="N219">
        <v>22000</v>
      </c>
      <c r="O219" s="9">
        <v>77000</v>
      </c>
      <c r="P219">
        <v>250000</v>
      </c>
      <c r="Q219">
        <v>10000</v>
      </c>
      <c r="R219">
        <v>12000</v>
      </c>
      <c r="S219">
        <v>0</v>
      </c>
      <c r="T219" s="9">
        <v>0</v>
      </c>
      <c r="U219">
        <v>392000</v>
      </c>
      <c r="V219" s="11">
        <f t="shared" si="3"/>
        <v>392000</v>
      </c>
      <c r="W219">
        <v>0</v>
      </c>
      <c r="X219" t="s">
        <v>751</v>
      </c>
      <c r="Y219" s="1" t="s">
        <v>116</v>
      </c>
    </row>
    <row r="220" spans="1:25">
      <c r="A220" t="s">
        <v>752</v>
      </c>
      <c r="B220" t="s">
        <v>753</v>
      </c>
      <c r="C220">
        <v>11684</v>
      </c>
      <c r="D220" t="s">
        <v>754</v>
      </c>
      <c r="E220" t="s">
        <v>150</v>
      </c>
      <c r="G220" s="1" t="s">
        <v>35</v>
      </c>
      <c r="H220" s="1">
        <v>60</v>
      </c>
      <c r="I220" s="1">
        <v>4</v>
      </c>
      <c r="J220">
        <v>1</v>
      </c>
      <c r="K220">
        <v>700</v>
      </c>
      <c r="L220" s="9">
        <v>500</v>
      </c>
      <c r="M220">
        <v>2500</v>
      </c>
      <c r="N220">
        <v>0</v>
      </c>
      <c r="O220">
        <v>5000</v>
      </c>
      <c r="P220">
        <v>0</v>
      </c>
      <c r="Q220">
        <v>800</v>
      </c>
      <c r="R220">
        <v>1000</v>
      </c>
      <c r="S220">
        <v>0</v>
      </c>
      <c r="T220">
        <v>0</v>
      </c>
      <c r="U220">
        <v>10500</v>
      </c>
      <c r="V220" s="11">
        <f t="shared" si="3"/>
        <v>10500</v>
      </c>
      <c r="W220">
        <v>0</v>
      </c>
      <c r="X220" t="s">
        <v>42</v>
      </c>
      <c r="Y220" s="1" t="s">
        <v>116</v>
      </c>
    </row>
    <row r="221" spans="1:25">
      <c r="A221" t="s">
        <v>755</v>
      </c>
      <c r="B221" t="s">
        <v>756</v>
      </c>
      <c r="C221">
        <v>12319</v>
      </c>
      <c r="D221" t="s">
        <v>757</v>
      </c>
      <c r="E221" t="s">
        <v>28</v>
      </c>
      <c r="G221" s="1" t="s">
        <v>35</v>
      </c>
      <c r="H221" s="1">
        <v>56</v>
      </c>
      <c r="I221" s="1">
        <v>4</v>
      </c>
      <c r="J221">
        <v>1</v>
      </c>
      <c r="K221">
        <v>0</v>
      </c>
      <c r="L221">
        <v>500</v>
      </c>
      <c r="M221">
        <v>1400</v>
      </c>
      <c r="N221">
        <v>1300</v>
      </c>
      <c r="O221">
        <v>560</v>
      </c>
      <c r="P221">
        <v>0</v>
      </c>
      <c r="Q221">
        <v>500</v>
      </c>
      <c r="R221">
        <v>2208</v>
      </c>
      <c r="S221">
        <v>0</v>
      </c>
      <c r="T221">
        <v>0</v>
      </c>
      <c r="U221">
        <v>6468</v>
      </c>
      <c r="V221" s="11">
        <f t="shared" si="3"/>
        <v>6468</v>
      </c>
      <c r="W221">
        <v>0</v>
      </c>
      <c r="X221" t="s">
        <v>193</v>
      </c>
      <c r="Y221" s="1" t="s">
        <v>116</v>
      </c>
    </row>
    <row r="222" spans="1:25">
      <c r="A222" t="s">
        <v>758</v>
      </c>
      <c r="B222" t="s">
        <v>759</v>
      </c>
      <c r="C222">
        <v>5814</v>
      </c>
      <c r="D222" t="s">
        <v>760</v>
      </c>
      <c r="E222" t="s">
        <v>761</v>
      </c>
      <c r="G222" s="1" t="s">
        <v>29</v>
      </c>
      <c r="H222" s="1">
        <v>60</v>
      </c>
      <c r="I222" s="1">
        <v>4</v>
      </c>
      <c r="J222">
        <v>3</v>
      </c>
      <c r="K222">
        <v>0</v>
      </c>
      <c r="L222" s="9">
        <v>2000</v>
      </c>
      <c r="M222">
        <v>0</v>
      </c>
      <c r="N222">
        <v>0</v>
      </c>
      <c r="O222" s="9">
        <v>5000</v>
      </c>
      <c r="P222">
        <v>0</v>
      </c>
      <c r="Q222">
        <v>0</v>
      </c>
      <c r="R222">
        <v>0</v>
      </c>
      <c r="S222">
        <v>0</v>
      </c>
      <c r="T222"/>
      <c r="U222">
        <v>7000</v>
      </c>
      <c r="V222" s="11">
        <f t="shared" si="3"/>
        <v>7000</v>
      </c>
      <c r="W222">
        <v>0</v>
      </c>
      <c r="X222" t="s">
        <v>227</v>
      </c>
      <c r="Y222" s="1" t="s">
        <v>263</v>
      </c>
    </row>
    <row r="223" spans="1:25">
      <c r="A223" t="s">
        <v>762</v>
      </c>
      <c r="B223" t="s">
        <v>763</v>
      </c>
      <c r="C223">
        <v>1704</v>
      </c>
      <c r="D223" t="s">
        <v>764</v>
      </c>
      <c r="E223" t="s">
        <v>40</v>
      </c>
      <c r="G223" s="1" t="s">
        <v>35</v>
      </c>
      <c r="H223" s="1">
        <v>55</v>
      </c>
      <c r="I223" s="1">
        <v>0</v>
      </c>
      <c r="J223">
        <v>1</v>
      </c>
      <c r="K223">
        <v>25</v>
      </c>
      <c r="L223" s="9">
        <v>20000</v>
      </c>
      <c r="M223">
        <v>15000</v>
      </c>
      <c r="N223">
        <v>20000</v>
      </c>
      <c r="O223">
        <v>60000</v>
      </c>
      <c r="P223">
        <v>163000</v>
      </c>
      <c r="Q223">
        <v>60000</v>
      </c>
      <c r="R223">
        <v>10000</v>
      </c>
      <c r="S223">
        <v>10000</v>
      </c>
      <c r="T223"/>
      <c r="U223">
        <v>358025</v>
      </c>
      <c r="V223" s="11">
        <f t="shared" si="3"/>
        <v>358025</v>
      </c>
      <c r="W223">
        <v>0</v>
      </c>
      <c r="X223" t="s">
        <v>54</v>
      </c>
      <c r="Y223" s="1" t="s">
        <v>31</v>
      </c>
    </row>
    <row r="224" spans="1:25">
      <c r="A224" t="s">
        <v>765</v>
      </c>
      <c r="B224" t="s">
        <v>766</v>
      </c>
      <c r="C224">
        <v>1682</v>
      </c>
      <c r="D224" t="s">
        <v>767</v>
      </c>
      <c r="E224" t="s">
        <v>71</v>
      </c>
      <c r="G224" s="1" t="s">
        <v>29</v>
      </c>
      <c r="H224" s="1">
        <v>35</v>
      </c>
      <c r="I224" s="1">
        <v>2</v>
      </c>
      <c r="J224">
        <v>1</v>
      </c>
      <c r="K224">
        <v>0</v>
      </c>
      <c r="L224" s="9">
        <v>1000</v>
      </c>
      <c r="M224" s="9">
        <v>2000</v>
      </c>
      <c r="N224" s="9">
        <v>1000</v>
      </c>
      <c r="O224" s="9">
        <v>1200</v>
      </c>
      <c r="P224">
        <v>0</v>
      </c>
      <c r="Q224">
        <v>0</v>
      </c>
      <c r="R224">
        <v>0</v>
      </c>
      <c r="S224"/>
      <c r="T224">
        <v>0</v>
      </c>
      <c r="U224">
        <v>5200</v>
      </c>
      <c r="V224" s="11">
        <f t="shared" si="3"/>
        <v>5200</v>
      </c>
      <c r="W224">
        <v>0</v>
      </c>
      <c r="X224" t="s">
        <v>54</v>
      </c>
      <c r="Y224" s="1" t="s">
        <v>31</v>
      </c>
    </row>
    <row r="225" spans="1:25">
      <c r="A225" t="s">
        <v>768</v>
      </c>
      <c r="B225" t="s">
        <v>769</v>
      </c>
      <c r="C225">
        <v>4540</v>
      </c>
      <c r="D225" t="s">
        <v>770</v>
      </c>
      <c r="E225" t="s">
        <v>115</v>
      </c>
      <c r="G225" s="1" t="s">
        <v>29</v>
      </c>
      <c r="H225" s="1">
        <v>38</v>
      </c>
      <c r="I225" s="1">
        <v>2</v>
      </c>
      <c r="J225">
        <v>2</v>
      </c>
      <c r="K225">
        <v>1300</v>
      </c>
      <c r="L225" s="9">
        <v>2000</v>
      </c>
      <c r="M225">
        <v>5600</v>
      </c>
      <c r="N225">
        <v>8800</v>
      </c>
      <c r="O225">
        <v>40000</v>
      </c>
      <c r="P225">
        <v>0</v>
      </c>
      <c r="Q225">
        <v>40000</v>
      </c>
      <c r="R225">
        <v>30000</v>
      </c>
      <c r="S225" s="9">
        <v>13000</v>
      </c>
      <c r="T225">
        <v>0</v>
      </c>
      <c r="U225">
        <v>140700</v>
      </c>
      <c r="V225" s="11">
        <f t="shared" si="3"/>
        <v>140700</v>
      </c>
      <c r="W225">
        <v>0</v>
      </c>
      <c r="X225" t="s">
        <v>46</v>
      </c>
      <c r="Y225" s="1" t="s">
        <v>31</v>
      </c>
    </row>
    <row r="226" spans="1:25">
      <c r="A226" t="s">
        <v>771</v>
      </c>
      <c r="B226" t="s">
        <v>772</v>
      </c>
      <c r="C226">
        <v>14292</v>
      </c>
      <c r="D226" t="s">
        <v>773</v>
      </c>
      <c r="E226" t="s">
        <v>90</v>
      </c>
      <c r="G226" s="1" t="s">
        <v>29</v>
      </c>
      <c r="H226" s="1">
        <v>57</v>
      </c>
      <c r="I226" s="1">
        <v>2</v>
      </c>
      <c r="J226">
        <v>1</v>
      </c>
      <c r="K226">
        <v>0</v>
      </c>
      <c r="L226">
        <v>200</v>
      </c>
      <c r="M226">
        <v>1000</v>
      </c>
      <c r="N226">
        <v>12000</v>
      </c>
      <c r="O226">
        <v>10000</v>
      </c>
      <c r="P226">
        <v>12000</v>
      </c>
      <c r="Q226">
        <v>32000</v>
      </c>
      <c r="R226">
        <v>6000</v>
      </c>
      <c r="S226">
        <v>18000</v>
      </c>
      <c r="T226">
        <v>0</v>
      </c>
      <c r="U226">
        <v>91200</v>
      </c>
      <c r="V226" s="11">
        <f t="shared" si="3"/>
        <v>91200</v>
      </c>
      <c r="W226">
        <v>0</v>
      </c>
      <c r="X226" t="s">
        <v>54</v>
      </c>
      <c r="Y226" s="1" t="s">
        <v>31</v>
      </c>
    </row>
    <row r="227" spans="1:25">
      <c r="A227" t="s">
        <v>774</v>
      </c>
      <c r="B227" t="s">
        <v>775</v>
      </c>
      <c r="C227">
        <v>6008</v>
      </c>
      <c r="D227" t="s">
        <v>776</v>
      </c>
      <c r="E227" t="s">
        <v>115</v>
      </c>
      <c r="G227" s="1" t="s">
        <v>35</v>
      </c>
      <c r="H227" s="1">
        <v>26</v>
      </c>
      <c r="I227" s="1">
        <v>15</v>
      </c>
      <c r="J227">
        <v>1</v>
      </c>
      <c r="K227">
        <v>60</v>
      </c>
      <c r="L227">
        <v>20</v>
      </c>
      <c r="M227">
        <v>2000</v>
      </c>
      <c r="N227" s="9">
        <v>6500</v>
      </c>
      <c r="O227">
        <v>48000</v>
      </c>
      <c r="P227">
        <v>0</v>
      </c>
      <c r="Q227">
        <v>22000</v>
      </c>
      <c r="R227">
        <v>11420</v>
      </c>
      <c r="S227">
        <v>6000</v>
      </c>
      <c r="T227">
        <v>0</v>
      </c>
      <c r="U227">
        <v>96000</v>
      </c>
      <c r="V227" s="11">
        <f t="shared" si="3"/>
        <v>96000</v>
      </c>
      <c r="W227">
        <v>0</v>
      </c>
      <c r="X227" t="s">
        <v>54</v>
      </c>
      <c r="Y227" s="1" t="s">
        <v>31</v>
      </c>
    </row>
    <row r="228" spans="1:25">
      <c r="A228" t="s">
        <v>777</v>
      </c>
      <c r="B228" t="s">
        <v>778</v>
      </c>
      <c r="C228">
        <v>14366</v>
      </c>
      <c r="D228" t="s">
        <v>779</v>
      </c>
      <c r="E228" t="s">
        <v>467</v>
      </c>
      <c r="F228" t="s">
        <v>468</v>
      </c>
      <c r="G228" s="1" t="s">
        <v>35</v>
      </c>
      <c r="H228" s="1">
        <v>69</v>
      </c>
      <c r="I228" s="1">
        <v>4</v>
      </c>
      <c r="J228">
        <v>1</v>
      </c>
      <c r="K228">
        <v>700</v>
      </c>
      <c r="L228" s="9">
        <v>2000</v>
      </c>
      <c r="M228">
        <v>8000</v>
      </c>
      <c r="N228">
        <v>15000</v>
      </c>
      <c r="O228" s="9">
        <v>17000</v>
      </c>
      <c r="P228">
        <v>16000</v>
      </c>
      <c r="Q228">
        <v>15000</v>
      </c>
      <c r="R228" s="9">
        <v>8000</v>
      </c>
      <c r="S228">
        <v>0</v>
      </c>
      <c r="T228" s="9">
        <v>0</v>
      </c>
      <c r="U228">
        <v>81700</v>
      </c>
      <c r="V228" s="11">
        <f t="shared" si="3"/>
        <v>81700</v>
      </c>
      <c r="W228">
        <v>0</v>
      </c>
      <c r="X228" t="s">
        <v>184</v>
      </c>
      <c r="Y228" s="1" t="s">
        <v>31</v>
      </c>
    </row>
    <row r="229" spans="1:25">
      <c r="A229" t="s">
        <v>780</v>
      </c>
      <c r="B229" t="s">
        <v>781</v>
      </c>
      <c r="C229">
        <v>14382</v>
      </c>
      <c r="D229" t="s">
        <v>782</v>
      </c>
      <c r="E229" t="s">
        <v>28</v>
      </c>
      <c r="G229" s="1" t="s">
        <v>35</v>
      </c>
      <c r="H229" s="1">
        <v>34</v>
      </c>
      <c r="I229" s="1">
        <v>3</v>
      </c>
      <c r="J229">
        <v>1</v>
      </c>
      <c r="K229">
        <v>0</v>
      </c>
      <c r="L229">
        <v>5000</v>
      </c>
      <c r="M229">
        <v>14500</v>
      </c>
      <c r="N229">
        <v>14000</v>
      </c>
      <c r="O229">
        <v>16000</v>
      </c>
      <c r="P229">
        <v>0</v>
      </c>
      <c r="Q229">
        <v>30000</v>
      </c>
      <c r="R229">
        <v>3000</v>
      </c>
      <c r="S229">
        <v>0</v>
      </c>
      <c r="T229">
        <v>0</v>
      </c>
      <c r="U229">
        <v>82500</v>
      </c>
      <c r="V229" s="11">
        <f t="shared" si="3"/>
        <v>82500</v>
      </c>
      <c r="W229">
        <v>0</v>
      </c>
      <c r="X229" t="s">
        <v>42</v>
      </c>
      <c r="Y229" s="1" t="s">
        <v>31</v>
      </c>
    </row>
    <row r="230" spans="1:25">
      <c r="A230" t="s">
        <v>783</v>
      </c>
      <c r="B230" t="s">
        <v>784</v>
      </c>
      <c r="C230">
        <v>6981</v>
      </c>
      <c r="D230" t="s">
        <v>785</v>
      </c>
      <c r="E230" t="s">
        <v>28</v>
      </c>
      <c r="G230" s="1" t="s">
        <v>35</v>
      </c>
      <c r="H230" s="1">
        <v>52</v>
      </c>
      <c r="I230" s="1">
        <v>4</v>
      </c>
      <c r="J230">
        <v>3</v>
      </c>
      <c r="K230" s="13">
        <v>0</v>
      </c>
      <c r="L230" s="13">
        <v>0</v>
      </c>
      <c r="M230" s="13">
        <v>0</v>
      </c>
      <c r="N230" s="13">
        <v>0</v>
      </c>
      <c r="O230" s="13">
        <v>305</v>
      </c>
      <c r="P230" s="13">
        <v>0</v>
      </c>
      <c r="Q230" s="13">
        <v>0</v>
      </c>
      <c r="R230" s="13">
        <v>0</v>
      </c>
      <c r="S230" s="13">
        <v>0</v>
      </c>
      <c r="T230" s="13">
        <v>0</v>
      </c>
      <c r="U230" s="8">
        <v>305</v>
      </c>
      <c r="V230" s="11">
        <f t="shared" si="3"/>
        <v>305</v>
      </c>
      <c r="W230">
        <v>0</v>
      </c>
      <c r="X230" t="s">
        <v>42</v>
      </c>
      <c r="Y230" s="1" t="s">
        <v>31</v>
      </c>
    </row>
    <row r="231" spans="1:25">
      <c r="A231" t="s">
        <v>786</v>
      </c>
      <c r="B231" t="s">
        <v>787</v>
      </c>
      <c r="C231">
        <v>9375</v>
      </c>
      <c r="D231" t="s">
        <v>788</v>
      </c>
      <c r="E231" t="s">
        <v>150</v>
      </c>
      <c r="G231" s="1" t="s">
        <v>35</v>
      </c>
      <c r="H231" s="1">
        <v>59</v>
      </c>
      <c r="I231" s="1">
        <v>5</v>
      </c>
      <c r="J231">
        <v>1</v>
      </c>
      <c r="K231">
        <v>0</v>
      </c>
      <c r="L231">
        <v>500</v>
      </c>
      <c r="M231">
        <v>15000</v>
      </c>
      <c r="N231">
        <v>5000</v>
      </c>
      <c r="O231">
        <v>20000</v>
      </c>
      <c r="P231">
        <v>0</v>
      </c>
      <c r="Q231">
        <v>4000</v>
      </c>
      <c r="R231">
        <v>0</v>
      </c>
      <c r="S231">
        <v>0</v>
      </c>
      <c r="T231">
        <v>0</v>
      </c>
      <c r="U231">
        <v>44500</v>
      </c>
      <c r="V231" s="11">
        <f t="shared" si="3"/>
        <v>44500</v>
      </c>
      <c r="W231">
        <v>0</v>
      </c>
      <c r="X231" t="s">
        <v>46</v>
      </c>
      <c r="Y231" s="1" t="s">
        <v>31</v>
      </c>
    </row>
    <row r="232" spans="1:25">
      <c r="A232" t="s">
        <v>789</v>
      </c>
      <c r="B232" t="s">
        <v>790</v>
      </c>
      <c r="C232">
        <v>9352</v>
      </c>
      <c r="D232" t="s">
        <v>791</v>
      </c>
      <c r="E232" t="s">
        <v>28</v>
      </c>
      <c r="G232" s="1" t="s">
        <v>35</v>
      </c>
      <c r="H232" s="1">
        <v>60</v>
      </c>
      <c r="I232" s="1">
        <v>4</v>
      </c>
      <c r="J232">
        <v>2</v>
      </c>
      <c r="K232">
        <v>0</v>
      </c>
      <c r="L232">
        <v>1000</v>
      </c>
      <c r="M232">
        <v>25000</v>
      </c>
      <c r="N232">
        <v>24000</v>
      </c>
      <c r="O232" s="9">
        <v>90000</v>
      </c>
      <c r="P232">
        <v>20000</v>
      </c>
      <c r="Q232">
        <v>15000</v>
      </c>
      <c r="R232">
        <v>10000</v>
      </c>
      <c r="S232">
        <v>15000</v>
      </c>
      <c r="T232" s="9">
        <v>0</v>
      </c>
      <c r="U232">
        <v>200000</v>
      </c>
      <c r="V232" s="11">
        <f t="shared" si="3"/>
        <v>200000</v>
      </c>
      <c r="W232">
        <v>0</v>
      </c>
      <c r="X232" t="s">
        <v>46</v>
      </c>
      <c r="Y232" s="1" t="s">
        <v>116</v>
      </c>
    </row>
    <row r="233" spans="1:25">
      <c r="A233" t="s">
        <v>792</v>
      </c>
      <c r="B233" t="s">
        <v>793</v>
      </c>
      <c r="C233">
        <v>9372</v>
      </c>
      <c r="D233" t="s">
        <v>794</v>
      </c>
      <c r="E233" t="s">
        <v>115</v>
      </c>
      <c r="G233" s="1" t="s">
        <v>35</v>
      </c>
      <c r="H233" s="1">
        <v>29</v>
      </c>
      <c r="I233" s="1">
        <v>1</v>
      </c>
      <c r="J233">
        <v>1</v>
      </c>
      <c r="K233">
        <v>0</v>
      </c>
      <c r="L233">
        <v>600</v>
      </c>
      <c r="M233">
        <v>14000</v>
      </c>
      <c r="N233">
        <v>16000</v>
      </c>
      <c r="O233">
        <v>35000</v>
      </c>
      <c r="P233">
        <v>0</v>
      </c>
      <c r="Q233">
        <v>15000</v>
      </c>
      <c r="R233">
        <v>10000</v>
      </c>
      <c r="S233" s="9">
        <v>4400</v>
      </c>
      <c r="T233" s="9">
        <v>0</v>
      </c>
      <c r="U233">
        <v>95000</v>
      </c>
      <c r="V233" s="11">
        <f t="shared" si="3"/>
        <v>95000</v>
      </c>
      <c r="W233">
        <v>0</v>
      </c>
      <c r="X233" t="s">
        <v>54</v>
      </c>
      <c r="Y233" s="1" t="s">
        <v>116</v>
      </c>
    </row>
    <row r="234" spans="1:25">
      <c r="A234" t="s">
        <v>795</v>
      </c>
      <c r="B234" t="s">
        <v>796</v>
      </c>
      <c r="C234">
        <v>14512</v>
      </c>
      <c r="D234" t="s">
        <v>797</v>
      </c>
      <c r="E234" t="s">
        <v>163</v>
      </c>
      <c r="F234" t="s">
        <v>798</v>
      </c>
      <c r="G234" s="1" t="s">
        <v>29</v>
      </c>
      <c r="H234" s="1">
        <v>40</v>
      </c>
      <c r="I234" s="1">
        <v>4</v>
      </c>
      <c r="J234">
        <v>1</v>
      </c>
      <c r="K234">
        <v>1500</v>
      </c>
      <c r="L234">
        <v>12000</v>
      </c>
      <c r="M234">
        <v>12000</v>
      </c>
      <c r="N234">
        <v>4500</v>
      </c>
      <c r="O234">
        <v>9000</v>
      </c>
      <c r="P234">
        <v>0</v>
      </c>
      <c r="Q234">
        <v>6000</v>
      </c>
      <c r="R234">
        <v>3000</v>
      </c>
      <c r="S234">
        <v>0</v>
      </c>
      <c r="T234">
        <v>0</v>
      </c>
      <c r="U234">
        <v>48000</v>
      </c>
      <c r="V234" s="11">
        <f t="shared" si="3"/>
        <v>48000</v>
      </c>
      <c r="W234">
        <v>0</v>
      </c>
      <c r="X234" s="8" t="s">
        <v>143</v>
      </c>
      <c r="Y234" s="1" t="s">
        <v>263</v>
      </c>
    </row>
    <row r="235" spans="1:25">
      <c r="A235" t="s">
        <v>799</v>
      </c>
      <c r="B235" t="s">
        <v>800</v>
      </c>
      <c r="C235">
        <v>9501</v>
      </c>
      <c r="D235" t="s">
        <v>801</v>
      </c>
      <c r="E235" t="s">
        <v>150</v>
      </c>
      <c r="G235" s="1" t="s">
        <v>29</v>
      </c>
      <c r="H235" s="1">
        <v>67</v>
      </c>
      <c r="I235" s="1">
        <v>4</v>
      </c>
      <c r="J235">
        <v>5</v>
      </c>
      <c r="K235">
        <v>500</v>
      </c>
      <c r="L235" s="9">
        <v>3500</v>
      </c>
      <c r="M235">
        <v>700</v>
      </c>
      <c r="N235">
        <v>0</v>
      </c>
      <c r="O235">
        <v>6000</v>
      </c>
      <c r="P235">
        <v>0</v>
      </c>
      <c r="Q235">
        <v>24000</v>
      </c>
      <c r="R235">
        <v>10000</v>
      </c>
      <c r="S235" s="9">
        <v>0</v>
      </c>
      <c r="T235">
        <v>0</v>
      </c>
      <c r="U235">
        <v>44700</v>
      </c>
      <c r="V235" s="11">
        <f t="shared" si="3"/>
        <v>44700</v>
      </c>
      <c r="W235">
        <v>0</v>
      </c>
      <c r="X235" t="s">
        <v>54</v>
      </c>
      <c r="Y235" s="1" t="s">
        <v>31</v>
      </c>
    </row>
    <row r="236" spans="1:25">
      <c r="A236" t="s">
        <v>802</v>
      </c>
      <c r="B236" t="s">
        <v>803</v>
      </c>
      <c r="C236">
        <v>10026</v>
      </c>
      <c r="D236" t="s">
        <v>804</v>
      </c>
      <c r="E236" t="s">
        <v>78</v>
      </c>
      <c r="F236" t="s">
        <v>805</v>
      </c>
      <c r="G236" s="1" t="s">
        <v>35</v>
      </c>
      <c r="H236" s="1">
        <v>45</v>
      </c>
      <c r="I236" s="1">
        <v>3</v>
      </c>
      <c r="J236">
        <v>1</v>
      </c>
      <c r="K236">
        <v>500</v>
      </c>
      <c r="L236">
        <v>12000</v>
      </c>
      <c r="M236">
        <v>4000</v>
      </c>
      <c r="N236">
        <v>8000</v>
      </c>
      <c r="O236" s="9">
        <v>16000</v>
      </c>
      <c r="P236">
        <v>6000</v>
      </c>
      <c r="Q236">
        <v>8000</v>
      </c>
      <c r="R236">
        <v>10000</v>
      </c>
      <c r="S236" s="9">
        <v>0</v>
      </c>
      <c r="T236" s="9">
        <v>0</v>
      </c>
      <c r="U236">
        <v>64500</v>
      </c>
      <c r="V236" s="11">
        <f t="shared" si="3"/>
        <v>64500</v>
      </c>
      <c r="W236">
        <v>0</v>
      </c>
      <c r="X236" t="s">
        <v>42</v>
      </c>
      <c r="Y236" s="1" t="s">
        <v>31</v>
      </c>
    </row>
    <row r="237" spans="1:25">
      <c r="A237" t="s">
        <v>806</v>
      </c>
      <c r="B237" t="s">
        <v>807</v>
      </c>
      <c r="C237">
        <v>10897</v>
      </c>
      <c r="D237" t="s">
        <v>808</v>
      </c>
      <c r="E237" t="s">
        <v>150</v>
      </c>
      <c r="G237" s="1" t="s">
        <v>35</v>
      </c>
      <c r="H237" s="1">
        <v>76</v>
      </c>
      <c r="I237" s="1">
        <v>4</v>
      </c>
      <c r="J237">
        <v>1</v>
      </c>
      <c r="K237">
        <v>0</v>
      </c>
      <c r="L237" s="9">
        <v>1000</v>
      </c>
      <c r="M237" s="9">
        <v>4000</v>
      </c>
      <c r="N237" s="9">
        <v>6000</v>
      </c>
      <c r="O237" s="9">
        <v>25500</v>
      </c>
      <c r="P237">
        <v>0</v>
      </c>
      <c r="Q237" s="9">
        <v>15000</v>
      </c>
      <c r="R237">
        <v>8000</v>
      </c>
      <c r="S237">
        <v>0</v>
      </c>
      <c r="T237">
        <v>0</v>
      </c>
      <c r="U237">
        <v>59500</v>
      </c>
      <c r="V237" s="11">
        <f t="shared" si="3"/>
        <v>59500</v>
      </c>
      <c r="W237">
        <v>0</v>
      </c>
      <c r="X237" t="s">
        <v>54</v>
      </c>
      <c r="Y237" s="1" t="s">
        <v>31</v>
      </c>
    </row>
    <row r="238" spans="1:25">
      <c r="A238" t="s">
        <v>809</v>
      </c>
      <c r="B238" t="s">
        <v>810</v>
      </c>
      <c r="C238">
        <v>11667</v>
      </c>
      <c r="D238" t="s">
        <v>811</v>
      </c>
      <c r="E238" t="s">
        <v>66</v>
      </c>
      <c r="G238" s="1" t="s">
        <v>29</v>
      </c>
      <c r="H238" s="1">
        <v>55</v>
      </c>
      <c r="I238" s="1">
        <v>4</v>
      </c>
      <c r="J238">
        <v>1</v>
      </c>
      <c r="K238" s="15">
        <v>0</v>
      </c>
      <c r="L238" s="16">
        <v>5000</v>
      </c>
      <c r="M238" s="16">
        <v>8000</v>
      </c>
      <c r="N238" s="16">
        <v>8000</v>
      </c>
      <c r="O238" s="16">
        <v>500000</v>
      </c>
      <c r="P238" s="16">
        <v>0</v>
      </c>
      <c r="Q238" s="16">
        <v>10000</v>
      </c>
      <c r="R238" s="16">
        <v>50000</v>
      </c>
      <c r="S238" s="16">
        <v>19000</v>
      </c>
      <c r="T238"/>
      <c r="V238" s="11">
        <f t="shared" si="3"/>
        <v>600000</v>
      </c>
      <c r="W238">
        <v>-6000015</v>
      </c>
      <c r="X238" t="s">
        <v>54</v>
      </c>
      <c r="Y238" s="1" t="s">
        <v>31</v>
      </c>
    </row>
    <row r="239" spans="1:25">
      <c r="A239" t="s">
        <v>812</v>
      </c>
      <c r="B239" t="s">
        <v>813</v>
      </c>
      <c r="C239">
        <v>12230</v>
      </c>
      <c r="D239" t="s">
        <v>814</v>
      </c>
      <c r="E239" t="s">
        <v>150</v>
      </c>
      <c r="G239" s="1" t="s">
        <v>35</v>
      </c>
      <c r="H239" s="1">
        <v>74</v>
      </c>
      <c r="I239" s="1">
        <v>5</v>
      </c>
      <c r="J239">
        <v>1</v>
      </c>
      <c r="K239">
        <v>1400</v>
      </c>
      <c r="L239" s="9">
        <v>1500</v>
      </c>
      <c r="M239">
        <v>3400</v>
      </c>
      <c r="N239">
        <v>1550</v>
      </c>
      <c r="O239">
        <v>8000</v>
      </c>
      <c r="P239">
        <v>2500</v>
      </c>
      <c r="Q239">
        <v>8000</v>
      </c>
      <c r="R239">
        <v>2200</v>
      </c>
      <c r="S239">
        <v>0</v>
      </c>
      <c r="T239" s="9">
        <v>0</v>
      </c>
      <c r="U239">
        <v>28550</v>
      </c>
      <c r="V239" s="11">
        <f t="shared" si="3"/>
        <v>28550</v>
      </c>
      <c r="W239">
        <v>0</v>
      </c>
      <c r="X239" t="s">
        <v>815</v>
      </c>
      <c r="Y239" s="1" t="s">
        <v>31</v>
      </c>
    </row>
    <row r="240" spans="1:25">
      <c r="A240" t="s">
        <v>816</v>
      </c>
      <c r="B240" t="s">
        <v>817</v>
      </c>
      <c r="C240">
        <v>11917</v>
      </c>
      <c r="D240" t="s">
        <v>818</v>
      </c>
      <c r="E240" t="s">
        <v>66</v>
      </c>
      <c r="G240" s="1" t="s">
        <v>29</v>
      </c>
      <c r="H240" s="1">
        <v>50</v>
      </c>
      <c r="I240" s="1">
        <v>2</v>
      </c>
      <c r="J240">
        <v>1</v>
      </c>
      <c r="K240">
        <v>1500</v>
      </c>
      <c r="L240" s="9">
        <v>5000</v>
      </c>
      <c r="M240">
        <v>5800</v>
      </c>
      <c r="N240">
        <v>12000</v>
      </c>
      <c r="O240" s="9">
        <v>45000</v>
      </c>
      <c r="P240">
        <v>0</v>
      </c>
      <c r="Q240">
        <v>30000</v>
      </c>
      <c r="R240">
        <v>18000</v>
      </c>
      <c r="S240">
        <v>0</v>
      </c>
      <c r="T240">
        <v>0</v>
      </c>
      <c r="U240">
        <v>117300</v>
      </c>
      <c r="V240" s="11">
        <f t="shared" si="3"/>
        <v>117300</v>
      </c>
      <c r="W240">
        <v>0</v>
      </c>
      <c r="X240" s="8" t="s">
        <v>819</v>
      </c>
      <c r="Y240" s="1" t="s">
        <v>31</v>
      </c>
    </row>
    <row r="241" spans="1:25">
      <c r="A241" t="s">
        <v>816</v>
      </c>
      <c r="B241" t="s">
        <v>817</v>
      </c>
      <c r="C241">
        <v>11917</v>
      </c>
      <c r="D241" t="s">
        <v>820</v>
      </c>
      <c r="E241" t="s">
        <v>28</v>
      </c>
      <c r="G241" s="1" t="s">
        <v>29</v>
      </c>
      <c r="H241" s="1">
        <v>50</v>
      </c>
      <c r="I241" s="1">
        <v>3</v>
      </c>
      <c r="J241" s="8">
        <v>0</v>
      </c>
      <c r="K241">
        <v>500</v>
      </c>
      <c r="L241" s="9">
        <v>1000</v>
      </c>
      <c r="M241">
        <v>0</v>
      </c>
      <c r="N241">
        <v>1400</v>
      </c>
      <c r="O241">
        <v>13000</v>
      </c>
      <c r="P241">
        <v>0</v>
      </c>
      <c r="Q241">
        <v>8000</v>
      </c>
      <c r="R241">
        <v>1200</v>
      </c>
      <c r="S241">
        <v>0</v>
      </c>
      <c r="T241" s="9">
        <v>0</v>
      </c>
      <c r="U241">
        <v>25100</v>
      </c>
      <c r="V241" s="11">
        <f t="shared" si="3"/>
        <v>25100</v>
      </c>
      <c r="W241">
        <v>0</v>
      </c>
      <c r="X241" t="s">
        <v>821</v>
      </c>
      <c r="Y241" s="1" t="s">
        <v>31</v>
      </c>
    </row>
    <row r="242" spans="1:25">
      <c r="A242" t="s">
        <v>816</v>
      </c>
      <c r="B242" t="s">
        <v>817</v>
      </c>
      <c r="C242">
        <v>11917</v>
      </c>
      <c r="D242" t="s">
        <v>822</v>
      </c>
      <c r="E242" t="s">
        <v>100</v>
      </c>
      <c r="G242" s="1" t="s">
        <v>29</v>
      </c>
      <c r="H242" s="1">
        <v>50</v>
      </c>
      <c r="I242" s="1">
        <v>1</v>
      </c>
      <c r="J242" s="8">
        <v>0</v>
      </c>
      <c r="K242">
        <v>500</v>
      </c>
      <c r="L242" s="9">
        <v>1200</v>
      </c>
      <c r="M242">
        <v>0</v>
      </c>
      <c r="N242">
        <v>3500</v>
      </c>
      <c r="O242">
        <v>13500</v>
      </c>
      <c r="P242">
        <v>0</v>
      </c>
      <c r="Q242">
        <v>8000</v>
      </c>
      <c r="R242">
        <v>2500</v>
      </c>
      <c r="S242">
        <v>0</v>
      </c>
      <c r="T242" s="9">
        <v>0</v>
      </c>
      <c r="U242">
        <v>29200</v>
      </c>
      <c r="V242" s="11">
        <f t="shared" si="3"/>
        <v>29200</v>
      </c>
      <c r="W242">
        <v>0</v>
      </c>
      <c r="X242" t="s">
        <v>197</v>
      </c>
      <c r="Y242" s="1" t="s">
        <v>31</v>
      </c>
    </row>
    <row r="243" spans="1:25">
      <c r="A243" t="s">
        <v>823</v>
      </c>
      <c r="B243" t="s">
        <v>824</v>
      </c>
      <c r="C243">
        <v>13634</v>
      </c>
      <c r="D243" t="s">
        <v>825</v>
      </c>
      <c r="E243" t="s">
        <v>150</v>
      </c>
      <c r="G243" s="1" t="s">
        <v>29</v>
      </c>
      <c r="H243" s="1">
        <v>65</v>
      </c>
      <c r="I243" s="1">
        <v>4</v>
      </c>
      <c r="J243">
        <v>1</v>
      </c>
      <c r="K243">
        <v>0</v>
      </c>
      <c r="L243" s="9">
        <v>4500</v>
      </c>
      <c r="M243">
        <v>2000</v>
      </c>
      <c r="N243">
        <v>0</v>
      </c>
      <c r="O243">
        <v>6000</v>
      </c>
      <c r="P243">
        <v>0</v>
      </c>
      <c r="Q243">
        <v>10000</v>
      </c>
      <c r="R243">
        <v>6000</v>
      </c>
      <c r="S243">
        <v>0</v>
      </c>
      <c r="T243" s="9">
        <v>0</v>
      </c>
      <c r="U243">
        <v>28500</v>
      </c>
      <c r="V243" s="11">
        <f t="shared" si="3"/>
        <v>28500</v>
      </c>
      <c r="W243">
        <v>0</v>
      </c>
      <c r="X243" s="8" t="s">
        <v>826</v>
      </c>
      <c r="Y243" s="1" t="s">
        <v>31</v>
      </c>
    </row>
    <row r="244" spans="1:25">
      <c r="A244" t="s">
        <v>827</v>
      </c>
      <c r="B244" t="s">
        <v>828</v>
      </c>
      <c r="C244">
        <v>8478</v>
      </c>
      <c r="D244" t="s">
        <v>829</v>
      </c>
      <c r="E244" t="s">
        <v>62</v>
      </c>
      <c r="G244" s="1" t="s">
        <v>29</v>
      </c>
      <c r="H244" s="1">
        <v>45</v>
      </c>
      <c r="I244" s="1">
        <v>4</v>
      </c>
      <c r="J244">
        <v>1</v>
      </c>
      <c r="K244">
        <v>0</v>
      </c>
      <c r="L244" s="9">
        <v>1000</v>
      </c>
      <c r="M244">
        <v>0</v>
      </c>
      <c r="N244">
        <v>0</v>
      </c>
      <c r="O244">
        <v>9800</v>
      </c>
      <c r="P244">
        <v>0</v>
      </c>
      <c r="Q244">
        <v>600</v>
      </c>
      <c r="R244" s="9">
        <v>2600</v>
      </c>
      <c r="S244">
        <v>0</v>
      </c>
      <c r="T244">
        <v>0</v>
      </c>
      <c r="U244">
        <v>14000</v>
      </c>
      <c r="V244" s="11">
        <f t="shared" si="3"/>
        <v>14000</v>
      </c>
      <c r="W244">
        <v>0</v>
      </c>
      <c r="X244" t="s">
        <v>54</v>
      </c>
      <c r="Y244" s="1" t="s">
        <v>31</v>
      </c>
    </row>
    <row r="245" spans="1:25">
      <c r="A245" t="s">
        <v>830</v>
      </c>
      <c r="B245" t="s">
        <v>831</v>
      </c>
      <c r="C245">
        <v>4569</v>
      </c>
      <c r="D245" t="s">
        <v>832</v>
      </c>
      <c r="E245" t="s">
        <v>188</v>
      </c>
      <c r="G245" s="1" t="s">
        <v>29</v>
      </c>
      <c r="H245" s="1">
        <v>68</v>
      </c>
      <c r="I245" s="1">
        <v>2</v>
      </c>
      <c r="J245">
        <v>1</v>
      </c>
      <c r="K245">
        <v>0</v>
      </c>
      <c r="L245" s="9">
        <v>2000</v>
      </c>
      <c r="M245">
        <v>0</v>
      </c>
      <c r="N245">
        <v>0</v>
      </c>
      <c r="O245">
        <v>122000</v>
      </c>
      <c r="P245">
        <v>0</v>
      </c>
      <c r="Q245">
        <v>48000</v>
      </c>
      <c r="R245" s="9">
        <v>18000</v>
      </c>
      <c r="S245">
        <v>0</v>
      </c>
      <c r="T245">
        <v>0</v>
      </c>
      <c r="U245">
        <v>190000</v>
      </c>
      <c r="V245" s="11">
        <f t="shared" si="3"/>
        <v>190000</v>
      </c>
      <c r="W245">
        <v>0</v>
      </c>
      <c r="X245" t="s">
        <v>42</v>
      </c>
      <c r="Y245" s="1" t="s">
        <v>31</v>
      </c>
    </row>
    <row r="246" spans="1:25">
      <c r="A246" t="s">
        <v>833</v>
      </c>
      <c r="B246" t="s">
        <v>834</v>
      </c>
      <c r="C246">
        <v>5223</v>
      </c>
      <c r="D246" t="s">
        <v>835</v>
      </c>
      <c r="E246" t="s">
        <v>188</v>
      </c>
      <c r="G246" s="1" t="s">
        <v>35</v>
      </c>
      <c r="H246" s="1">
        <v>65</v>
      </c>
      <c r="I246" s="1">
        <v>4</v>
      </c>
      <c r="J246">
        <v>1</v>
      </c>
      <c r="K246">
        <v>0</v>
      </c>
      <c r="L246" s="9">
        <v>1000</v>
      </c>
      <c r="M246">
        <v>0</v>
      </c>
      <c r="N246">
        <v>0</v>
      </c>
      <c r="O246">
        <v>59400</v>
      </c>
      <c r="P246">
        <v>0</v>
      </c>
      <c r="Q246">
        <v>7000</v>
      </c>
      <c r="R246">
        <v>10000</v>
      </c>
      <c r="S246">
        <v>0</v>
      </c>
      <c r="T246" s="9">
        <v>0</v>
      </c>
      <c r="U246">
        <v>77400</v>
      </c>
      <c r="V246" s="11">
        <f t="shared" si="3"/>
        <v>77400</v>
      </c>
      <c r="W246">
        <v>0</v>
      </c>
      <c r="X246" t="s">
        <v>54</v>
      </c>
      <c r="Y246" s="1" t="s">
        <v>31</v>
      </c>
    </row>
    <row r="247" spans="1:25">
      <c r="A247" t="s">
        <v>836</v>
      </c>
      <c r="B247" t="s">
        <v>837</v>
      </c>
      <c r="C247">
        <v>8258</v>
      </c>
      <c r="D247" t="s">
        <v>838</v>
      </c>
      <c r="E247" t="s">
        <v>40</v>
      </c>
      <c r="G247" s="1" t="s">
        <v>29</v>
      </c>
      <c r="H247" s="1">
        <v>37</v>
      </c>
      <c r="I247" s="1">
        <v>2</v>
      </c>
      <c r="J247" s="17">
        <v>0</v>
      </c>
      <c r="K247" s="17">
        <v>0</v>
      </c>
      <c r="L247" s="13">
        <v>1000</v>
      </c>
      <c r="M247">
        <v>2000</v>
      </c>
      <c r="N247" s="9">
        <v>7000</v>
      </c>
      <c r="O247">
        <v>25000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35000</v>
      </c>
      <c r="V247" s="11">
        <f t="shared" si="3"/>
        <v>35000</v>
      </c>
      <c r="W247">
        <v>0</v>
      </c>
      <c r="X247" t="s">
        <v>46</v>
      </c>
      <c r="Y247" s="1" t="s">
        <v>31</v>
      </c>
    </row>
    <row r="248" spans="1:25">
      <c r="A248" t="s">
        <v>839</v>
      </c>
      <c r="B248" t="s">
        <v>840</v>
      </c>
      <c r="C248">
        <v>5944</v>
      </c>
      <c r="D248" t="s">
        <v>841</v>
      </c>
      <c r="E248" t="s">
        <v>163</v>
      </c>
      <c r="F248" t="s">
        <v>842</v>
      </c>
      <c r="G248" s="1" t="s">
        <v>35</v>
      </c>
      <c r="H248" s="1">
        <v>12</v>
      </c>
      <c r="I248" s="1">
        <v>12</v>
      </c>
      <c r="J248">
        <v>3</v>
      </c>
      <c r="K248">
        <v>1200</v>
      </c>
      <c r="L248" s="9">
        <v>4500</v>
      </c>
      <c r="M248" s="9">
        <v>5000</v>
      </c>
      <c r="N248">
        <v>5600</v>
      </c>
      <c r="O248">
        <v>70000</v>
      </c>
      <c r="P248">
        <v>10000</v>
      </c>
      <c r="Q248">
        <v>6000</v>
      </c>
      <c r="R248">
        <v>15000</v>
      </c>
      <c r="S248">
        <v>8000</v>
      </c>
      <c r="T248" s="9">
        <v>0</v>
      </c>
      <c r="U248">
        <v>125500</v>
      </c>
      <c r="V248" s="11">
        <f t="shared" si="3"/>
        <v>125300</v>
      </c>
      <c r="W248">
        <v>0</v>
      </c>
      <c r="X248" s="8" t="s">
        <v>143</v>
      </c>
      <c r="Y248" s="1" t="s">
        <v>31</v>
      </c>
    </row>
    <row r="249" spans="1:25">
      <c r="A249" t="s">
        <v>843</v>
      </c>
      <c r="B249" t="s">
        <v>844</v>
      </c>
      <c r="C249">
        <v>6155</v>
      </c>
      <c r="D249" t="s">
        <v>845</v>
      </c>
      <c r="E249" t="s">
        <v>188</v>
      </c>
      <c r="G249" s="1" t="s">
        <v>35</v>
      </c>
      <c r="H249" s="1">
        <v>51</v>
      </c>
      <c r="I249" s="1">
        <v>6</v>
      </c>
      <c r="J249">
        <v>1</v>
      </c>
      <c r="K249">
        <v>0</v>
      </c>
      <c r="L249" s="9">
        <v>1000</v>
      </c>
      <c r="M249">
        <v>5000</v>
      </c>
      <c r="N249" s="9">
        <v>4000</v>
      </c>
      <c r="O249">
        <v>60000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70000</v>
      </c>
      <c r="V249" s="11">
        <f t="shared" si="3"/>
        <v>70000</v>
      </c>
      <c r="W249">
        <v>0</v>
      </c>
      <c r="X249" t="s">
        <v>42</v>
      </c>
      <c r="Y249" s="1" t="s">
        <v>31</v>
      </c>
    </row>
    <row r="250" spans="1:25">
      <c r="A250" t="s">
        <v>846</v>
      </c>
      <c r="B250" t="s">
        <v>847</v>
      </c>
      <c r="C250">
        <v>9482</v>
      </c>
      <c r="D250" t="s">
        <v>848</v>
      </c>
      <c r="E250" t="s">
        <v>115</v>
      </c>
      <c r="G250" s="1" t="s">
        <v>29</v>
      </c>
      <c r="H250" s="1">
        <v>24</v>
      </c>
      <c r="I250" s="1">
        <v>6</v>
      </c>
      <c r="J250">
        <v>1</v>
      </c>
      <c r="K250">
        <v>500</v>
      </c>
      <c r="L250" s="9">
        <v>3000</v>
      </c>
      <c r="M250">
        <v>4500</v>
      </c>
      <c r="N250">
        <v>1800</v>
      </c>
      <c r="O250">
        <v>20000</v>
      </c>
      <c r="P250">
        <v>0</v>
      </c>
      <c r="Q250">
        <v>14000</v>
      </c>
      <c r="R250">
        <v>7200</v>
      </c>
      <c r="S250">
        <v>0</v>
      </c>
      <c r="T250" s="9">
        <v>0</v>
      </c>
      <c r="U250">
        <v>51000</v>
      </c>
      <c r="V250" s="11">
        <f t="shared" si="3"/>
        <v>51000</v>
      </c>
      <c r="W250">
        <v>0</v>
      </c>
      <c r="X250" s="8" t="s">
        <v>849</v>
      </c>
      <c r="Y250" s="1" t="s">
        <v>116</v>
      </c>
    </row>
    <row r="251" spans="1:25">
      <c r="A251" t="s">
        <v>850</v>
      </c>
      <c r="B251" t="s">
        <v>851</v>
      </c>
      <c r="C251">
        <v>9498</v>
      </c>
      <c r="D251" t="s">
        <v>852</v>
      </c>
      <c r="E251" t="s">
        <v>150</v>
      </c>
      <c r="G251" s="1" t="s">
        <v>35</v>
      </c>
      <c r="H251" s="1">
        <v>72</v>
      </c>
      <c r="I251" s="1">
        <v>4</v>
      </c>
      <c r="J251">
        <v>1</v>
      </c>
      <c r="K251">
        <v>250</v>
      </c>
      <c r="L251" s="9">
        <v>2000</v>
      </c>
      <c r="M251">
        <v>3000</v>
      </c>
      <c r="N251">
        <v>700</v>
      </c>
      <c r="O251">
        <v>6000</v>
      </c>
      <c r="P251">
        <v>2500</v>
      </c>
      <c r="Q251">
        <v>24000</v>
      </c>
      <c r="R251">
        <v>3200</v>
      </c>
      <c r="S251">
        <v>0</v>
      </c>
      <c r="T251" s="9">
        <v>0</v>
      </c>
      <c r="U251">
        <v>41650</v>
      </c>
      <c r="V251" s="11">
        <f t="shared" si="3"/>
        <v>41650</v>
      </c>
      <c r="W251">
        <v>0</v>
      </c>
      <c r="X251" t="s">
        <v>492</v>
      </c>
      <c r="Y251" s="1" t="s">
        <v>116</v>
      </c>
    </row>
    <row r="252" spans="1:25">
      <c r="A252" t="s">
        <v>853</v>
      </c>
      <c r="B252" t="s">
        <v>854</v>
      </c>
      <c r="C252">
        <v>8250</v>
      </c>
      <c r="D252" t="s">
        <v>855</v>
      </c>
      <c r="E252" t="s">
        <v>188</v>
      </c>
      <c r="G252" s="1" t="s">
        <v>29</v>
      </c>
      <c r="H252" s="1">
        <v>37</v>
      </c>
      <c r="I252" s="1">
        <v>4</v>
      </c>
      <c r="J252">
        <v>2</v>
      </c>
      <c r="K252">
        <v>250</v>
      </c>
      <c r="L252" s="9">
        <v>3000</v>
      </c>
      <c r="M252">
        <v>9000</v>
      </c>
      <c r="N252">
        <v>2500</v>
      </c>
      <c r="O252">
        <v>32000</v>
      </c>
      <c r="P252">
        <v>3500</v>
      </c>
      <c r="Q252">
        <v>12000</v>
      </c>
      <c r="R252" s="9">
        <v>0</v>
      </c>
      <c r="S252">
        <v>0</v>
      </c>
      <c r="T252">
        <v>0</v>
      </c>
      <c r="U252">
        <v>62250</v>
      </c>
      <c r="V252" s="11">
        <f t="shared" si="3"/>
        <v>62250</v>
      </c>
      <c r="W252">
        <v>0</v>
      </c>
      <c r="X252" t="s">
        <v>316</v>
      </c>
      <c r="Y252" s="1" t="s">
        <v>116</v>
      </c>
    </row>
    <row r="255" spans="6:6">
      <c r="F255" t="s">
        <v>856</v>
      </c>
    </row>
    <row r="256" spans="6:6">
      <c r="F256" t="s">
        <v>857</v>
      </c>
    </row>
    <row r="257" spans="6:6">
      <c r="F257" t="s">
        <v>858</v>
      </c>
    </row>
    <row r="258" spans="6:6">
      <c r="F258" t="s">
        <v>859</v>
      </c>
    </row>
    <row r="259" spans="6:6">
      <c r="F259" t="s">
        <v>860</v>
      </c>
    </row>
    <row r="260" spans="6:6">
      <c r="F260" t="s">
        <v>861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sobaakun</dc:creator>
  <cp:lastModifiedBy>User</cp:lastModifiedBy>
  <dcterms:created xsi:type="dcterms:W3CDTF">2026-01-14T08:21:00Z</dcterms:created>
  <dcterms:modified xsi:type="dcterms:W3CDTF">2026-01-17T04:38:48Z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9BFD945FA2874882BAEC6117B79AC2DD_13</vt:lpwstr>
  </property>
  <property fmtid="{D5CDD505-2E9C-101B-9397-08002B2CF9AE}" pid="3" name="KSOProductBuildVer">
    <vt:lpwstr>1033-12.2.0.23196</vt:lpwstr>
  </property>
</Properties>
</file>