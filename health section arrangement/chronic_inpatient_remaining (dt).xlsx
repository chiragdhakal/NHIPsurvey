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<sst xmlns="http://schemas.openxmlformats.org/spreadsheetml/2006/main" count="94" uniqueCount="76">
  <si>
    <t xml:space="preserve">hhid</t>
  </si>
  <si>
    <t xml:space="preserve">ID</t>
  </si>
  <si>
    <t xml:space="preserve">personid</t>
  </si>
  <si>
    <t xml:space="preserve">uniq_id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</si>
  <si>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</si>
  <si>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</si>
  <si>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</si>
  <si>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</si>
  <si>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</si>
  <si>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check_ups</t>
  </si>
  <si>
    <t xml:space="preserve">hospitalized_count</t>
  </si>
  <si>
    <t xml:space="preserve">Emergency</t>
  </si>
  <si>
    <t xml:space="preserve">Bed.Charges</t>
  </si>
  <si>
    <t xml:space="preserve">Laboratory</t>
  </si>
  <si>
    <t xml:space="preserve">Imaging</t>
  </si>
  <si>
    <t xml:space="preserve">Medicines</t>
  </si>
  <si>
    <t xml:space="preserve">Medical.Supplies/.Devices</t>
  </si>
  <si>
    <t xml:space="preserve">Trans.portation</t>
  </si>
  <si>
    <t xml:space="preserve">Food.&amp;.Accommo.dation</t>
  </si>
  <si>
    <t xml:space="preserve">Care.Giver.Cost</t>
  </si>
  <si>
    <t xml:space="preserve">Other.Costs</t>
  </si>
  <si>
    <t xml:space="preserve">Total.cost</t>
  </si>
  <si>
    <t xml:space="preserve">health_facility_label</t>
  </si>
  <si>
    <t xml:space="preserve">1109-20</t>
  </si>
  <si>
    <t xml:space="preserve">1109-20-1</t>
  </si>
  <si>
    <t xml:space="preserve">1109-20-1-2</t>
  </si>
  <si>
    <t xml:space="preserve">Hypertension</t>
  </si>
  <si>
    <t xml:space="preserve">Male</t>
  </si>
  <si>
    <t xml:space="preserve">Government Hospital, Private/Community Hospital</t>
  </si>
  <si>
    <t xml:space="preserve">1109-20-2</t>
  </si>
  <si>
    <t xml:space="preserve">1109-20-2-3</t>
  </si>
  <si>
    <t xml:space="preserve">Diabetes</t>
  </si>
  <si>
    <t xml:space="preserve">Female</t>
  </si>
  <si>
    <t xml:space="preserve">2208-18</t>
  </si>
  <si>
    <t xml:space="preserve">2208-18-2</t>
  </si>
  <si>
    <t xml:space="preserve">2208-18-2-15</t>
  </si>
  <si>
    <t xml:space="preserve">Chronic Orthopaedic Problems</t>
  </si>
  <si>
    <t xml:space="preserve">Private Clinic</t>
  </si>
  <si>
    <t xml:space="preserve">3102-15</t>
  </si>
  <si>
    <t xml:space="preserve">3102-15-2</t>
  </si>
  <si>
    <t xml:space="preserve">3102-15-2-2</t>
  </si>
  <si>
    <t xml:space="preserve">Pharmacy/Drug Seller, Government Hospital</t>
  </si>
  <si>
    <t xml:space="preserve">3103-7</t>
  </si>
  <si>
    <t xml:space="preserve">3103-7-1</t>
  </si>
  <si>
    <t xml:space="preserve">3103-7-1-8</t>
  </si>
  <si>
    <t xml:space="preserve">Cancer</t>
  </si>
  <si>
    <t xml:space="preserve">Primary Health Centre, Government Hospital</t>
  </si>
  <si>
    <t xml:space="preserve">3105-17</t>
  </si>
  <si>
    <t xml:space="preserve">3105-17-2</t>
  </si>
  <si>
    <t xml:space="preserve">3105-17-2-8</t>
  </si>
  <si>
    <t xml:space="preserve">Government Hospital</t>
  </si>
  <si>
    <t xml:space="preserve">3203-10</t>
  </si>
  <si>
    <t xml:space="preserve">3203-10-1</t>
  </si>
  <si>
    <t xml:space="preserve">3203-10-1-3</t>
  </si>
  <si>
    <t xml:space="preserve">Primary Health Centre, Health Post, Private/Community Hospital</t>
  </si>
  <si>
    <t xml:space="preserve">3341-4</t>
  </si>
  <si>
    <t xml:space="preserve">3341-4-5</t>
  </si>
  <si>
    <t xml:space="preserve">3341-4-5-2</t>
  </si>
  <si>
    <t xml:space="preserve">Pharmacy/Drug Seller</t>
  </si>
  <si>
    <t xml:space="preserve">3365-5</t>
  </si>
  <si>
    <t xml:space="preserve">3365-5-4</t>
  </si>
  <si>
    <t xml:space="preserve">3365-5-4-12</t>
  </si>
  <si>
    <t xml:space="preserve">Thyroid Disorders</t>
  </si>
  <si>
    <t xml:space="preserve">3600-3</t>
  </si>
  <si>
    <t xml:space="preserve">3600-3-2</t>
  </si>
  <si>
    <t xml:space="preserve">3600-3-2-16</t>
  </si>
  <si>
    <t xml:space="preserve">Neurological Conditions</t>
  </si>
  <si>
    <t xml:space="preserve">5203-8</t>
  </si>
  <si>
    <t xml:space="preserve">5203-8-1</t>
  </si>
  <si>
    <t xml:space="preserve">5203-8-1-3</t>
  </si>
  <si>
    <t xml:space="preserve">Health Post</t>
  </si>
  <si>
    <t xml:space="preserve">5205-18</t>
  </si>
  <si>
    <t xml:space="preserve">5205-18-2</t>
  </si>
  <si>
    <t xml:space="preserve">5205-18-2-13</t>
  </si>
  <si>
    <t xml:space="preserve">Chronic Gastrointestinal Diseases</t>
  </si>
  <si>
    <t xml:space="preserve">Pharmacy/Drug Seller, Government Hospital, Private/Community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</si>
</sst>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pane xSplit="0" ySplit="1" topLeftCell="A2" activePane="bottomLeft" state="frozen"/>
      <selection pane="topLeft" activeCell="S1" activeCellId="0" sqref="S1"/>
      <selection pane="bottomLeft" activeCell="X11" activeCellId="0" sqref="X1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.86"/>
    <col collapsed="false" customWidth="true" hidden="false" outlineLevel="0" max="7" min="3" style="0" width="11"/>
    <col collapsed="false" customWidth="true" hidden="false" outlineLevel="0" max="8" min="8" style="0" width="7.43"/>
    <col collapsed="false" customWidth="true" hidden="false" outlineLevel="0" max="9" min="9" style="0" width="4.71"/>
    <col collapsed="false" customWidth="true" hidden="false" outlineLevel="0" max="10" min="10" style="0" width="6"/>
    <col collapsed="false" customWidth="true" hidden="false" outlineLevel="0" max="11" min="11" style="0" width="5.43"/>
    <col collapsed="false" customWidth="true" hidden="false" outlineLevel="0" max="12" min="12" style="0" width="5.14"/>
    <col collapsed="false" customWidth="true" hidden="false" outlineLevel="0" max="13" min="13" style="0" width="11"/>
    <col collapsed="false" customWidth="true" hidden="false" outlineLevel="0" max="14" min="14" style="0" width="8.71"/>
    <col collapsed="false" customWidth="true" hidden="false" outlineLevel="0" max="15" min="15" style="0" width="8.14"/>
    <col collapsed="false" customWidth="true" hidden="false" outlineLevel="0" max="16" min="16" style="0" width="11"/>
    <col collapsed="false" customWidth="true" hidden="false" outlineLevel="0" max="17" min="17" style="0" width="8.57"/>
    <col collapsed="false" customWidth="true" hidden="false" outlineLevel="0" max="22" min="18" style="0" width="11"/>
    <col collapsed="false" customWidth="true" hidden="false" outlineLevel="0" max="23" min="23" style="0" width="7.29"/>
    <col collapsed="false" customWidth="true" hidden="false" outlineLevel="0" max="24" min="24" style="0" width="7"/>
    <col collapsed="false" customWidth="true" hidden="false" outlineLevel="0" max="25" min="25" style="0" width="7.29"/>
    <col collapsed="false" customWidth="true" hidden="false" outlineLevel="0" max="26" min="26" style="0" width="6.7"/>
    <col collapsed="false" customWidth="true" hidden="false" outlineLevel="0" max="27" min="27" style="0" width="8"/>
    <col collapsed="false" customWidth="true" hidden="false" outlineLevel="0" max="28" min="28" style="0" width="7"/>
    <col collapsed="false" customWidth="true" hidden="false" outlineLevel="0" max="29" min="29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Z1" s="1"/>
      <c r="AA1" s="1"/>
      <c r="AB1" s="1"/>
      <c r="AC1" s="1"/>
    </row>
    <row r="2" customFormat="false" ht="15" hidden="false" customHeight="false" outlineLevel="0" collapsed="false">
      <c r="A2" s="2" t="s">
        <v>23</v>
      </c>
      <c r="B2" s="2" t="n">
        <v>11050</v>
      </c>
      <c r="C2" s="2" t="n">
        <v>53540</v>
      </c>
      <c r="D2" s="2" t="s">
        <v>24</v>
      </c>
      <c r="E2" s="2" t="s">
        <v>25</v>
      </c>
      <c r="F2" s="2" t="s">
        <v>26</v>
      </c>
      <c r="H2" s="2" t="s">
        <v>27</v>
      </c>
      <c r="I2" s="2" t="n">
        <v>55</v>
      </c>
      <c r="J2" s="2" t="n">
        <v>12</v>
      </c>
      <c r="K2" s="3" t="n">
        <v>0</v>
      </c>
      <c r="L2" s="2" t="n">
        <v>0</v>
      </c>
      <c r="M2" s="2" t="n">
        <v>0</v>
      </c>
      <c r="N2" s="4" t="n">
        <v>3000</v>
      </c>
      <c r="O2" s="4" t="n">
        <v>5000</v>
      </c>
      <c r="P2" s="4" t="n">
        <v>18000</v>
      </c>
      <c r="Q2" s="2" t="n">
        <v>0</v>
      </c>
      <c r="R2" s="4" t="n">
        <v>2000</v>
      </c>
      <c r="S2" s="2" t="n">
        <v>0</v>
      </c>
      <c r="T2" s="2" t="n">
        <v>0</v>
      </c>
      <c r="U2" s="2" t="n">
        <v>0</v>
      </c>
      <c r="V2" s="4" t="n">
        <f aca="false">(L2+M2+N2+O2+P2+Q2+R2+S2+T2+U2)</f>
        <v>28000</v>
      </c>
      <c r="W2" s="2" t="s">
        <v>28</v>
      </c>
      <c r="X2" s="2"/>
      <c r="Z2" s="2"/>
      <c r="AA2" s="2"/>
      <c r="AB2" s="2"/>
      <c r="AC2" s="2"/>
    </row>
    <row r="3" customFormat="false" ht="15" hidden="false" customHeight="false" outlineLevel="0" collapsed="false">
      <c r="A3" s="2" t="s">
        <v>23</v>
      </c>
      <c r="B3" s="2" t="n">
        <v>11050</v>
      </c>
      <c r="C3" s="2" t="n">
        <v>53541</v>
      </c>
      <c r="D3" s="2" t="s">
        <v>29</v>
      </c>
      <c r="E3" s="2" t="s">
        <v>30</v>
      </c>
      <c r="F3" s="2" t="s">
        <v>31</v>
      </c>
      <c r="H3" s="2" t="s">
        <v>32</v>
      </c>
      <c r="I3" s="2" t="n">
        <v>32</v>
      </c>
      <c r="J3" s="2" t="n">
        <v>12</v>
      </c>
      <c r="K3" s="5" t="n">
        <v>1</v>
      </c>
      <c r="L3" s="2" t="n">
        <v>0</v>
      </c>
      <c r="M3" s="4" t="n">
        <v>3000</v>
      </c>
      <c r="N3" s="4" t="n">
        <v>4000</v>
      </c>
      <c r="O3" s="4" t="n">
        <v>4000</v>
      </c>
      <c r="P3" s="4" t="n">
        <v>8000</v>
      </c>
      <c r="Q3" s="2" t="n">
        <v>0</v>
      </c>
      <c r="R3" s="4" t="n">
        <v>1000</v>
      </c>
      <c r="S3" s="2" t="n">
        <v>0</v>
      </c>
      <c r="T3" s="2" t="n">
        <v>0</v>
      </c>
      <c r="U3" s="2" t="n">
        <v>0</v>
      </c>
      <c r="V3" s="4" t="n">
        <f aca="false">(L3+M3+N3+O3+P3+Q3+R3+S3+T3+U3)</f>
        <v>20000</v>
      </c>
      <c r="W3" s="2" t="s">
        <v>28</v>
      </c>
      <c r="X3" s="2"/>
      <c r="Z3" s="2"/>
      <c r="AA3" s="2"/>
      <c r="AB3" s="2"/>
      <c r="AC3" s="2"/>
    </row>
    <row r="4" customFormat="false" ht="15" hidden="false" customHeight="false" outlineLevel="0" collapsed="false">
      <c r="A4" s="2" t="s">
        <v>33</v>
      </c>
      <c r="B4" s="2" t="n">
        <v>11160</v>
      </c>
      <c r="C4" s="2" t="n">
        <v>54000</v>
      </c>
      <c r="D4" s="2" t="s">
        <v>34</v>
      </c>
      <c r="E4" s="2" t="s">
        <v>35</v>
      </c>
      <c r="F4" s="2" t="s">
        <v>36</v>
      </c>
      <c r="H4" s="2" t="s">
        <v>32</v>
      </c>
      <c r="I4" s="2" t="n">
        <v>54</v>
      </c>
      <c r="J4" s="2" t="n">
        <v>12</v>
      </c>
      <c r="K4" s="5" t="n">
        <v>1</v>
      </c>
      <c r="M4" s="4" t="n">
        <v>2000</v>
      </c>
      <c r="N4" s="4" t="n">
        <v>2000</v>
      </c>
      <c r="O4" s="4" t="n">
        <v>4000</v>
      </c>
      <c r="P4" s="4" t="n">
        <v>12000</v>
      </c>
      <c r="Q4" s="4" t="n">
        <v>8000</v>
      </c>
      <c r="R4" s="4" t="n">
        <v>2000</v>
      </c>
      <c r="V4" s="4" t="n">
        <f aca="false">(L4+M4+N4+O4+P4+Q4+R4+S4+T4+U4)</f>
        <v>30000</v>
      </c>
      <c r="W4" s="2" t="s">
        <v>37</v>
      </c>
      <c r="X4" s="2"/>
      <c r="Z4" s="2"/>
      <c r="AA4" s="2"/>
      <c r="AB4" s="2"/>
      <c r="AC4" s="2"/>
    </row>
    <row r="5" customFormat="false" ht="15" hidden="false" customHeight="false" outlineLevel="0" collapsed="false">
      <c r="A5" s="2" t="s">
        <v>38</v>
      </c>
      <c r="B5" s="2" t="n">
        <v>7720</v>
      </c>
      <c r="C5" s="2" t="n">
        <v>36442</v>
      </c>
      <c r="D5" s="2" t="s">
        <v>39</v>
      </c>
      <c r="E5" s="2" t="s">
        <v>40</v>
      </c>
      <c r="F5" s="2" t="s">
        <v>26</v>
      </c>
      <c r="H5" s="2" t="s">
        <v>32</v>
      </c>
      <c r="I5" s="2" t="n">
        <v>78</v>
      </c>
      <c r="J5" s="2" t="n">
        <v>5</v>
      </c>
      <c r="K5" s="3" t="n">
        <v>0</v>
      </c>
      <c r="L5" s="2" t="n">
        <v>0</v>
      </c>
      <c r="M5" s="2" t="n">
        <v>0</v>
      </c>
      <c r="N5" s="4" t="n">
        <v>2000</v>
      </c>
      <c r="O5" s="4" t="n">
        <v>2000</v>
      </c>
      <c r="P5" s="4" t="n">
        <v>12000</v>
      </c>
      <c r="Q5" s="2" t="n">
        <v>0</v>
      </c>
      <c r="R5" s="4" t="n">
        <v>6000</v>
      </c>
      <c r="S5" s="2" t="n">
        <v>0</v>
      </c>
      <c r="T5" s="2" t="n">
        <v>0</v>
      </c>
      <c r="U5" s="2" t="n">
        <v>0</v>
      </c>
      <c r="V5" s="4" t="n">
        <f aca="false">(L5+M5+N5+O5+P5+Q5+R5+S5+T5+U5)</f>
        <v>22000</v>
      </c>
      <c r="W5" s="2" t="s">
        <v>41</v>
      </c>
      <c r="X5" s="2"/>
      <c r="Z5" s="2"/>
      <c r="AA5" s="2"/>
      <c r="AB5" s="2"/>
      <c r="AC5" s="2"/>
    </row>
    <row r="6" customFormat="false" ht="15" hidden="false" customHeight="false" outlineLevel="0" collapsed="false">
      <c r="A6" s="2" t="s">
        <v>42</v>
      </c>
      <c r="B6" s="2" t="n">
        <v>5104</v>
      </c>
      <c r="C6" s="2" t="n">
        <v>22635</v>
      </c>
      <c r="D6" s="2" t="s">
        <v>43</v>
      </c>
      <c r="E6" s="2" t="s">
        <v>44</v>
      </c>
      <c r="F6" s="2" t="s">
        <v>45</v>
      </c>
      <c r="H6" s="2" t="s">
        <v>27</v>
      </c>
      <c r="I6" s="2" t="n">
        <v>56</v>
      </c>
      <c r="J6" s="2" t="n">
        <v>12</v>
      </c>
      <c r="K6" s="5" t="n">
        <v>2</v>
      </c>
      <c r="M6" s="4" t="n">
        <v>6000</v>
      </c>
      <c r="N6" s="4" t="n">
        <v>2000</v>
      </c>
      <c r="O6" s="4" t="n">
        <v>4000</v>
      </c>
      <c r="P6" s="4" t="n">
        <v>80000</v>
      </c>
      <c r="Q6" s="2" t="n">
        <v>0</v>
      </c>
      <c r="R6" s="4" t="n">
        <v>4000</v>
      </c>
      <c r="V6" s="4" t="n">
        <f aca="false">(L6+M6+N6+O6+P6+Q6+R6+S6+T6+U6)</f>
        <v>96000</v>
      </c>
      <c r="W6" s="2" t="s">
        <v>46</v>
      </c>
      <c r="X6" s="2"/>
      <c r="Z6" s="2"/>
      <c r="AA6" s="2"/>
      <c r="AB6" s="2"/>
      <c r="AC6" s="2"/>
    </row>
    <row r="7" customFormat="false" ht="15" hidden="false" customHeight="false" outlineLevel="0" collapsed="false">
      <c r="A7" s="2" t="s">
        <v>47</v>
      </c>
      <c r="B7" s="2" t="n">
        <v>3968</v>
      </c>
      <c r="C7" s="2" t="n">
        <v>16841</v>
      </c>
      <c r="D7" s="2" t="s">
        <v>48</v>
      </c>
      <c r="E7" s="2" t="s">
        <v>49</v>
      </c>
      <c r="F7" s="2" t="s">
        <v>45</v>
      </c>
      <c r="H7" s="2" t="s">
        <v>32</v>
      </c>
      <c r="I7" s="2" t="n">
        <v>61</v>
      </c>
      <c r="J7" s="2" t="n">
        <v>6</v>
      </c>
      <c r="K7" s="5" t="n">
        <v>4</v>
      </c>
      <c r="L7" s="2" t="n">
        <v>0</v>
      </c>
      <c r="M7" s="4" t="n">
        <v>12000</v>
      </c>
      <c r="N7" s="4" t="n">
        <v>4000</v>
      </c>
      <c r="O7" s="4" t="n">
        <v>8000</v>
      </c>
      <c r="P7" s="4" t="n">
        <v>140000</v>
      </c>
      <c r="Q7" s="2" t="n">
        <v>0</v>
      </c>
      <c r="R7" s="4" t="n">
        <v>12000</v>
      </c>
      <c r="S7" s="2" t="n">
        <v>0</v>
      </c>
      <c r="T7" s="4" t="n">
        <v>16000</v>
      </c>
      <c r="U7" s="2" t="n">
        <v>0</v>
      </c>
      <c r="V7" s="4" t="n">
        <f aca="false">(L7+M7+N7+O7+P7+Q7+R7+S7+T7+U7)</f>
        <v>192000</v>
      </c>
      <c r="W7" s="2" t="s">
        <v>50</v>
      </c>
      <c r="X7" s="2"/>
      <c r="Z7" s="2"/>
      <c r="AA7" s="2"/>
      <c r="AB7" s="2"/>
      <c r="AC7" s="2"/>
    </row>
    <row r="8" customFormat="false" ht="15" hidden="false" customHeight="false" outlineLevel="0" collapsed="false">
      <c r="A8" s="2" t="s">
        <v>51</v>
      </c>
      <c r="B8" s="2" t="n">
        <v>5530</v>
      </c>
      <c r="C8" s="2" t="n">
        <v>24937</v>
      </c>
      <c r="D8" s="2" t="s">
        <v>52</v>
      </c>
      <c r="E8" s="2" t="s">
        <v>53</v>
      </c>
      <c r="F8" s="2" t="s">
        <v>31</v>
      </c>
      <c r="H8" s="2" t="s">
        <v>27</v>
      </c>
      <c r="I8" s="2" t="n">
        <v>62</v>
      </c>
      <c r="J8" s="2" t="n">
        <v>6</v>
      </c>
      <c r="K8" s="3" t="n">
        <v>0</v>
      </c>
      <c r="L8" s="2" t="n">
        <v>0</v>
      </c>
      <c r="M8" s="2" t="n">
        <v>0</v>
      </c>
      <c r="N8" s="4" t="n">
        <v>2000</v>
      </c>
      <c r="O8" s="4" t="n">
        <v>4000</v>
      </c>
      <c r="P8" s="4" t="n">
        <v>8000</v>
      </c>
      <c r="Q8" s="2" t="n">
        <v>0</v>
      </c>
      <c r="R8" s="4" t="n">
        <v>4000</v>
      </c>
      <c r="S8" s="2" t="n">
        <v>0</v>
      </c>
      <c r="T8" s="2" t="n">
        <v>0</v>
      </c>
      <c r="U8" s="2" t="n">
        <v>0</v>
      </c>
      <c r="V8" s="4" t="n">
        <f aca="false">(L8+M8+N8+O8+P8+Q8+R8+S8+T8+U8)</f>
        <v>18000</v>
      </c>
      <c r="W8" s="2" t="s">
        <v>54</v>
      </c>
      <c r="X8" s="2"/>
      <c r="Z8" s="2"/>
      <c r="AA8" s="2"/>
      <c r="AB8" s="2"/>
      <c r="AC8" s="2"/>
    </row>
    <row r="9" customFormat="false" ht="15" hidden="false" customHeight="false" outlineLevel="0" collapsed="false">
      <c r="A9" s="2" t="s">
        <v>55</v>
      </c>
      <c r="B9" s="2" t="n">
        <v>10577</v>
      </c>
      <c r="C9" s="2" t="n">
        <v>51077</v>
      </c>
      <c r="D9" s="2" t="s">
        <v>56</v>
      </c>
      <c r="E9" s="2" t="s">
        <v>57</v>
      </c>
      <c r="F9" s="2" t="s">
        <v>26</v>
      </c>
      <c r="H9" s="2" t="s">
        <v>27</v>
      </c>
      <c r="I9" s="2" t="n">
        <v>77</v>
      </c>
      <c r="J9" s="2" t="n">
        <v>0</v>
      </c>
      <c r="K9" s="5" t="n">
        <v>8</v>
      </c>
      <c r="L9" s="2" t="n">
        <v>0</v>
      </c>
      <c r="M9" s="4" t="n">
        <v>12000</v>
      </c>
      <c r="N9" s="4" t="n">
        <v>4000</v>
      </c>
      <c r="O9" s="4" t="n">
        <v>6000</v>
      </c>
      <c r="P9" s="4" t="n">
        <v>14000</v>
      </c>
      <c r="Q9" s="2" t="n">
        <v>0</v>
      </c>
      <c r="R9" s="4" t="n">
        <v>6000</v>
      </c>
      <c r="S9" s="2" t="n">
        <v>0</v>
      </c>
      <c r="T9" s="2" t="n">
        <v>0</v>
      </c>
      <c r="U9" s="2" t="n">
        <v>0</v>
      </c>
      <c r="V9" s="4" t="n">
        <f aca="false">(L9+M9+N9+O9+P9+Q9+R9+S9+T9+U9)</f>
        <v>42000</v>
      </c>
      <c r="W9" s="2" t="s">
        <v>58</v>
      </c>
      <c r="X9" s="2"/>
      <c r="Z9" s="2"/>
      <c r="AA9" s="2"/>
      <c r="AB9" s="2"/>
      <c r="AC9" s="2"/>
    </row>
    <row r="10" customFormat="false" ht="15" hidden="false" customHeight="false" outlineLevel="0" collapsed="false">
      <c r="A10" s="2" t="s">
        <v>59</v>
      </c>
      <c r="B10" s="2" t="n">
        <v>3605</v>
      </c>
      <c r="C10" s="2" t="n">
        <v>14762</v>
      </c>
      <c r="D10" s="2" t="s">
        <v>60</v>
      </c>
      <c r="E10" s="2" t="s">
        <v>61</v>
      </c>
      <c r="F10" s="2" t="s">
        <v>62</v>
      </c>
      <c r="H10" s="2" t="s">
        <v>32</v>
      </c>
      <c r="I10" s="2" t="n">
        <v>39</v>
      </c>
      <c r="J10" s="2" t="n">
        <v>3</v>
      </c>
      <c r="K10" s="5" t="n">
        <v>8</v>
      </c>
      <c r="L10" s="2" t="n">
        <v>0</v>
      </c>
      <c r="M10" s="4" t="n">
        <v>5000</v>
      </c>
      <c r="N10" s="4" t="n">
        <v>6000</v>
      </c>
      <c r="O10" s="4" t="n">
        <v>8000</v>
      </c>
      <c r="P10" s="4" t="n">
        <v>15000</v>
      </c>
      <c r="Q10" s="2" t="n">
        <v>0</v>
      </c>
      <c r="R10" s="4" t="n">
        <v>2000</v>
      </c>
      <c r="S10" s="2" t="n">
        <v>0</v>
      </c>
      <c r="T10" s="2" t="n">
        <v>0</v>
      </c>
      <c r="U10" s="2" t="n">
        <v>0</v>
      </c>
      <c r="V10" s="4" t="n">
        <f aca="false">(L10+M10+N10+O10+P10+Q10+R10+S10+T10+U10)</f>
        <v>36000</v>
      </c>
      <c r="W10" s="2" t="s">
        <v>28</v>
      </c>
      <c r="X10" s="2"/>
      <c r="Z10" s="2"/>
      <c r="AA10" s="2"/>
      <c r="AB10" s="2"/>
      <c r="AC10" s="2"/>
    </row>
    <row r="11" customFormat="false" ht="15" hidden="false" customHeight="false" outlineLevel="0" collapsed="false">
      <c r="A11" s="2" t="s">
        <v>63</v>
      </c>
      <c r="B11" s="2" t="n">
        <v>13612</v>
      </c>
      <c r="C11" s="2" t="n">
        <v>5948874</v>
      </c>
      <c r="D11" s="2" t="s">
        <v>64</v>
      </c>
      <c r="E11" s="2" t="s">
        <v>65</v>
      </c>
      <c r="F11" s="2" t="s">
        <v>66</v>
      </c>
      <c r="H11" s="2" t="s">
        <v>32</v>
      </c>
      <c r="I11" s="2" t="n">
        <v>42</v>
      </c>
      <c r="J11" s="2" t="n">
        <v>3</v>
      </c>
      <c r="K11" s="5" t="n">
        <v>1</v>
      </c>
      <c r="L11" s="2" t="n">
        <v>0</v>
      </c>
      <c r="M11" s="4" t="n">
        <v>6000</v>
      </c>
      <c r="N11" s="4" t="n">
        <v>2000</v>
      </c>
      <c r="O11" s="4" t="n">
        <v>6000</v>
      </c>
      <c r="P11" s="4" t="n">
        <v>12000</v>
      </c>
      <c r="Q11" s="2" t="n">
        <v>0</v>
      </c>
      <c r="R11" s="4" t="n">
        <v>2000</v>
      </c>
      <c r="S11" s="2" t="n">
        <v>0</v>
      </c>
      <c r="T11" s="2" t="n">
        <v>0</v>
      </c>
      <c r="U11" s="2" t="n">
        <v>0</v>
      </c>
      <c r="V11" s="4" t="n">
        <f aca="false">(L11+M11+N11+O11+P11+Q11+R11+S11+T11+U11)</f>
        <v>28000</v>
      </c>
      <c r="W11" s="3"/>
      <c r="X11" s="2"/>
      <c r="Z11" s="2"/>
      <c r="AA11" s="2"/>
      <c r="AB11" s="2"/>
      <c r="AC11" s="2"/>
    </row>
    <row r="12" customFormat="false" ht="15" hidden="false" customHeight="false" outlineLevel="0" collapsed="false">
      <c r="A12" s="2" t="s">
        <v>67</v>
      </c>
      <c r="B12" s="2" t="n">
        <v>4496</v>
      </c>
      <c r="C12" s="2" t="n">
        <v>19518</v>
      </c>
      <c r="D12" s="2" t="s">
        <v>68</v>
      </c>
      <c r="E12" s="2" t="s">
        <v>69</v>
      </c>
      <c r="F12" s="2" t="s">
        <v>31</v>
      </c>
      <c r="H12" s="2" t="s">
        <v>32</v>
      </c>
      <c r="I12" s="2" t="n">
        <v>51</v>
      </c>
      <c r="J12" s="2" t="n">
        <v>4</v>
      </c>
      <c r="K12" s="3" t="n">
        <v>0</v>
      </c>
      <c r="L12" s="2" t="n">
        <v>0</v>
      </c>
      <c r="M12" s="2" t="n">
        <v>0</v>
      </c>
      <c r="N12" s="4"/>
      <c r="O12" s="4"/>
      <c r="P12" s="4" t="n">
        <v>6000</v>
      </c>
      <c r="Q12" s="2" t="n">
        <v>0</v>
      </c>
      <c r="R12" s="4" t="n">
        <v>2000</v>
      </c>
      <c r="S12" s="2" t="n">
        <v>0</v>
      </c>
      <c r="T12" s="2" t="n">
        <v>0</v>
      </c>
      <c r="U12" s="2" t="n">
        <v>0</v>
      </c>
      <c r="V12" s="4" t="n">
        <f aca="false">(L12+M12+N12+O12+P12+Q12+R12+S12+T12+U12)</f>
        <v>8000</v>
      </c>
      <c r="W12" s="5" t="s">
        <v>70</v>
      </c>
      <c r="X12" s="2"/>
      <c r="Z12" s="2"/>
      <c r="AA12" s="2"/>
      <c r="AB12" s="2"/>
      <c r="AC12" s="2"/>
    </row>
    <row r="13" customFormat="false" ht="15" hidden="false" customHeight="false" outlineLevel="0" collapsed="false">
      <c r="A13" s="2" t="s">
        <v>71</v>
      </c>
      <c r="B13" s="2" t="n">
        <v>7592</v>
      </c>
      <c r="C13" s="2" t="n">
        <v>35802</v>
      </c>
      <c r="D13" s="2" t="s">
        <v>72</v>
      </c>
      <c r="E13" s="2" t="s">
        <v>73</v>
      </c>
      <c r="F13" s="2" t="s">
        <v>74</v>
      </c>
      <c r="H13" s="2" t="s">
        <v>27</v>
      </c>
      <c r="I13" s="2" t="n">
        <v>79</v>
      </c>
      <c r="J13" s="2" t="n">
        <v>4</v>
      </c>
      <c r="K13" s="5" t="n">
        <v>1</v>
      </c>
      <c r="M13" s="4" t="n">
        <v>1000</v>
      </c>
      <c r="N13" s="4" t="n">
        <v>1000</v>
      </c>
      <c r="O13" s="4" t="n">
        <v>2000</v>
      </c>
      <c r="P13" s="4" t="n">
        <v>8000</v>
      </c>
      <c r="Q13" s="2" t="n">
        <v>0</v>
      </c>
      <c r="R13" s="4" t="n">
        <v>4000</v>
      </c>
      <c r="T13" s="4" t="n">
        <v>2000</v>
      </c>
      <c r="V13" s="4" t="n">
        <f aca="false">(L13+M13+N13+O13+P13+Q13+R13+S13+T13+U13)</f>
        <v>18000</v>
      </c>
      <c r="W13" s="2" t="s">
        <v>75</v>
      </c>
      <c r="X13" s="2"/>
      <c r="Z13" s="2"/>
      <c r="AA13" s="2"/>
      <c r="AB13" s="2"/>
      <c r="AC13" s="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2026-01-28T08:00:00Z</dcterms:created>
  <dc:creator>sobaakun</dc:creator>
  <dc:description/>
  <dc:language>en-US</dc:language>
  <cp:lastModifiedBy/>
  <dcterms:modified xsi:type="dcterms:W3CDTF">2026-02-03T13:37:43Z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869F9F4A01904AE183AD05E2C26C4FD8_12</vt:lpwstr>
  </property>
  <property fmtid="{D5CDD505-2E9C-101B-9397-08002B2CF9AE}" pid="3" name="KSOProductBuildVer">
    <vt:lpwstr>1033-12.2.0.23196</vt:lpwstr>
  </property>
</Properties>
</file>