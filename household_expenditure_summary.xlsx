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ood at Home" sheetId="1" state="visible" r:id="rId3"/>
    <sheet name="Food Away Home" sheetId="2" state="visible" r:id="rId4"/>
    <sheet name="Non-Food Expenditure" sheetId="3" state="visible" r:id="rId5"/>
    <sheet name="Travel Expenses" sheetId="4" state="visible" r:id="rId6"/>
    <sheet name="Own Account Production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<sst xmlns="http://schemas.openxmlformats.org/spreadsheetml/2006/main" count="120" uniqueCount="103">
  <si>
    <t xml:space="preserve">food_category</t>
  </si>
  <si>
    <t xml:space="preserve">home_production_mean</t>
  </si>
  <si>
    <t xml:space="preserve">home_production_min</t>
  </si>
  <si>
    <t xml:space="preserve">home_production_max</t>
  </si>
  <si>
    <t xml:space="preserve">food_purchases_mean</t>
  </si>
  <si>
    <t xml:space="preserve">food_purchases_min</t>
  </si>
  <si>
    <t xml:space="preserve">food_purchases_max</t>
  </si>
  <si>
    <t xml:space="preserve">inkind_received_mean</t>
  </si>
  <si>
    <t xml:space="preserve">inkind_received_min</t>
  </si>
  <si>
    <t xml:space="preserve">inkind_received_max</t>
  </si>
  <si>
    <t xml:space="preserve">n_home_production</t>
  </si>
  <si>
    <t xml:space="preserve">n_food_purchases</t>
  </si>
  <si>
    <t xml:space="preserve">n_inkind_received</t>
  </si>
  <si>
    <t xml:space="preserve">Alcoholic Beverages (local or imported)</t>
  </si>
  <si>
    <t xml:space="preserve">Cooking (Vegetable) Oils</t>
  </si>
  <si>
    <t xml:space="preserve">Eggs and Milk Products (excluding butter)</t>
  </si>
  <si>
    <t xml:space="preserve">Fruits and Nuts (fresh, dried, dehydrated, frozen)</t>
  </si>
  <si>
    <t xml:space="preserve">Ghee (Butter, lard, and other animal-based oils and fats)</t>
  </si>
  <si>
    <t xml:space="preserve">Grains and Cereals</t>
  </si>
  <si>
    <t xml:space="preserve">Meats and Fish</t>
  </si>
  <si>
    <t xml:space="preserve">Non-alcoholic beverages</t>
  </si>
  <si>
    <t xml:space="preserve">Prepared Food Products</t>
  </si>
  <si>
    <t xml:space="preserve">Pulses and Lentils</t>
  </si>
  <si>
    <t xml:space="preserve">Spices and Condiments</t>
  </si>
  <si>
    <t xml:space="preserve">Sweets and Confectionery</t>
  </si>
  <si>
    <t xml:space="preserve">Tea and Coffee</t>
  </si>
  <si>
    <t xml:space="preserve">Tobacco and Tobacco Products</t>
  </si>
  <si>
    <t xml:space="preserve">Vegetables (fresh, dried, dehydrated, frozen)</t>
  </si>
  <si>
    <t xml:space="preserve">household_expenditure_mean</t>
  </si>
  <si>
    <t xml:space="preserve">household_expenditure_min</t>
  </si>
  <si>
    <t xml:space="preserve">household_expenditure_max</t>
  </si>
  <si>
    <t xml:space="preserve">received_as_guest_mean</t>
  </si>
  <si>
    <t xml:space="preserve">received_as_guest_min</t>
  </si>
  <si>
    <t xml:space="preserve">received_as_guest_max</t>
  </si>
  <si>
    <t xml:space="preserve">n_household_expenditure</t>
  </si>
  <si>
    <t xml:space="preserve">n_received_as_guest</t>
  </si>
  <si>
    <t xml:space="preserve">Afternoon Snack</t>
  </si>
  <si>
    <t xml:space="preserve">Alcoholic Drink</t>
  </si>
  <si>
    <t xml:space="preserve">Breakfast</t>
  </si>
  <si>
    <t xml:space="preserve">Dinner</t>
  </si>
  <si>
    <t xml:space="preserve">Lunch</t>
  </si>
  <si>
    <t xml:space="preserve">Other foods</t>
  </si>
  <si>
    <t xml:space="preserve">Soft Drink</t>
  </si>
  <si>
    <t xml:space="preserve">Tea/Coffee</t>
  </si>
  <si>
    <t xml:space="preserve">nonfood_category</t>
  </si>
  <si>
    <t xml:space="preserve">yearly_mean</t>
  </si>
  <si>
    <t xml:space="preserve">yearly_min</t>
  </si>
  <si>
    <t xml:space="preserve">yearly_max</t>
  </si>
  <si>
    <t xml:space="preserve">monthly_mean</t>
  </si>
  <si>
    <t xml:space="preserve">monthly_min</t>
  </si>
  <si>
    <t xml:space="preserve">monthly_max</t>
  </si>
  <si>
    <t xml:space="preserve">n_yearly</t>
  </si>
  <si>
    <t xml:space="preserve">n_monthly</t>
  </si>
  <si>
    <t xml:space="preserve">Administrative and Legal Costs</t>
  </si>
  <si>
    <t xml:space="preserve">Amusement and Cultural Services</t>
  </si>
  <si>
    <t xml:space="preserve">Audio-Visual, Photographic and Information Processing Equipment Expenses</t>
  </si>
  <si>
    <t xml:space="preserve">Banking services</t>
  </si>
  <si>
    <t xml:space="preserve">Books, Magazines, and Stationery</t>
  </si>
  <si>
    <t xml:space="preserve">Clothing and apparel</t>
  </si>
  <si>
    <t xml:space="preserve">Communication Cost</t>
  </si>
  <si>
    <t xml:space="preserve">Domestic Holiday Package</t>
  </si>
  <si>
    <t xml:space="preserve">Education Expenses</t>
  </si>
  <si>
    <t xml:space="preserve">Expenses on Regular House Cleaning</t>
  </si>
  <si>
    <t xml:space="preserve">Festival and parties (wedding, birthday, etc.)</t>
  </si>
  <si>
    <t xml:space="preserve">Fuel</t>
  </si>
  <si>
    <t xml:space="preserve">Furniture and Furnishings</t>
  </si>
  <si>
    <t xml:space="preserve">Health Expenses (Preventive Health Care)</t>
  </si>
  <si>
    <t xml:space="preserve">Insurance Costs (life and non-life)</t>
  </si>
  <si>
    <t xml:space="preserve">Lodging and Hostel Costs</t>
  </si>
  <si>
    <t xml:space="preserve">Music and Entertainment Related Goods</t>
  </si>
  <si>
    <t xml:space="preserve">Other Non-Electronic Personal Use Items</t>
  </si>
  <si>
    <t xml:space="preserve">Other Non-Food Consumption</t>
  </si>
  <si>
    <t xml:space="preserve">Public Transportation Expenses</t>
  </si>
  <si>
    <t xml:space="preserve">Purchase and Maintenance of House and Kitchen-garden</t>
  </si>
  <si>
    <t xml:space="preserve">Purchase and Maintenance of Household Equipment and Appliances</t>
  </si>
  <si>
    <t xml:space="preserve">Purchase and Maintenance of Kitchen and Bathroom Items</t>
  </si>
  <si>
    <t xml:space="preserve">Purchase and Maintenance of Textiles for Household Use</t>
  </si>
  <si>
    <t xml:space="preserve">Purchase of Personal Vehicle</t>
  </si>
  <si>
    <t xml:space="preserve">Repair and Maintenance of Vehicle</t>
  </si>
  <si>
    <t xml:space="preserve">Repair and Minor repair of house</t>
  </si>
  <si>
    <t xml:space="preserve">Shoes and Slippers</t>
  </si>
  <si>
    <t xml:space="preserve">Social Security Expenses</t>
  </si>
  <si>
    <t xml:space="preserve">Sports and Hobby Related Expenses</t>
  </si>
  <si>
    <t xml:space="preserve">travel_expense_category</t>
  </si>
  <si>
    <t xml:space="preserve">Accommodation (hotels, hostels, vacation rentals, camping fees)</t>
  </si>
  <si>
    <t xml:space="preserve">Food &amp; Beverages (restaurants, cafes, groceries, street food, alcohol)</t>
  </si>
  <si>
    <t xml:space="preserve">Health-related Expenses (medicines, medical equipment, health services, and insurance co-pays)</t>
  </si>
  <si>
    <t xml:space="preserve">Leisure &amp; entertainment activities (museums, movies, parks, and exhibitions, etc.)</t>
  </si>
  <si>
    <t xml:space="preserve">Other expenses (gifts, donations, unclassifiable spending)</t>
  </si>
  <si>
    <t xml:space="preserve">Services &amp; Fees (Laundry, communications, banking fees, currency conversion, tips)</t>
  </si>
  <si>
    <t xml:space="preserve">Shopping and goods (personal items, electronics, luxury goods, etc.)</t>
  </si>
  <si>
    <t xml:space="preserve">Tour packages (Pre-paid tours, guided excursions, cruise packages)</t>
  </si>
  <si>
    <t xml:space="preserve">Transportation (airfare, roads)</t>
  </si>
  <si>
    <t xml:space="preserve">Travel essentials (Visas, travel insurance, SIM cards, roaming charges)</t>
  </si>
  <si>
    <t xml:space="preserve">product_type</t>
  </si>
  <si>
    <t xml:space="preserve">Bamboo &amp; Cane Products</t>
  </si>
  <si>
    <t xml:space="preserve">Household Services &amp; Maintenance</t>
  </si>
  <si>
    <t xml:space="preserve">Metal Tools &amp; Implements</t>
  </si>
  <si>
    <t xml:space="preserve">Other Handicrafts &amp; Items</t>
  </si>
  <si>
    <t xml:space="preserve">Processed Foods &amp; Preserves</t>
  </si>
  <si>
    <t xml:space="preserve">Straw &amp; Grass Products</t>
  </si>
  <si>
    <t xml:space="preserve">Textiles &amp; Clothing</t>
  </si>
  <si>
    <t xml:space="preserve">Wooden Products &amp; Furniture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</si>
</sst>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n">
        <v>72.6626506024096</v>
      </c>
      <c r="C2" s="0" t="n">
        <v>1</v>
      </c>
      <c r="D2" s="0" t="n">
        <v>100</v>
      </c>
      <c r="E2" s="0" t="n">
        <v>510.349047619048</v>
      </c>
      <c r="F2" s="0" t="n">
        <v>8</v>
      </c>
      <c r="G2" s="0" t="n">
        <v>2000</v>
      </c>
      <c r="H2" s="0" t="e">
        <f aca="false">#NUM!</f>
        <v>#NUM!</v>
      </c>
      <c r="I2" s="0" t="e">
        <f aca="false">#NUM!</f>
        <v>#NUM!</v>
      </c>
      <c r="J2" s="0" t="e">
        <f aca="false">#NUM!</f>
        <v>#NUM!</v>
      </c>
      <c r="K2" s="0" t="n">
        <v>83</v>
      </c>
      <c r="L2" s="0" t="n">
        <v>650</v>
      </c>
      <c r="M2" s="0" t="n">
        <v>0</v>
      </c>
    </row>
    <row r="3" customFormat="false" ht="15" hidden="false" customHeight="false" outlineLevel="0" collapsed="false">
      <c r="A3" s="0" t="s">
        <v>14</v>
      </c>
      <c r="B3" s="0" t="n">
        <v>155.796055684455</v>
      </c>
      <c r="C3" s="0" t="n">
        <v>1</v>
      </c>
      <c r="D3" s="0" t="n">
        <v>300</v>
      </c>
      <c r="E3" s="0" t="n">
        <v>173.545059802392</v>
      </c>
      <c r="F3" s="0" t="n">
        <v>2</v>
      </c>
      <c r="G3" s="0" t="n">
        <v>300</v>
      </c>
      <c r="H3" s="0" t="e">
        <f aca="false">#NUM!</f>
        <v>#NUM!</v>
      </c>
      <c r="I3" s="0" t="e">
        <f aca="false">#NUM!</f>
        <v>#NUM!</v>
      </c>
      <c r="J3" s="0" t="e">
        <f aca="false">#NUM!</f>
        <v>#NUM!</v>
      </c>
      <c r="K3" s="0" t="n">
        <v>431</v>
      </c>
      <c r="L3" s="0" t="n">
        <v>3848</v>
      </c>
      <c r="M3" s="0" t="n">
        <v>0</v>
      </c>
    </row>
    <row r="4" customFormat="false" ht="15" hidden="false" customHeight="false" outlineLevel="0" collapsed="false">
      <c r="A4" s="0" t="s">
        <v>15</v>
      </c>
      <c r="B4" s="0" t="n">
        <v>302.121109107505</v>
      </c>
      <c r="C4" s="0" t="n">
        <v>3</v>
      </c>
      <c r="D4" s="0" t="n">
        <v>500</v>
      </c>
      <c r="E4" s="0" t="n">
        <v>302.956253707349</v>
      </c>
      <c r="F4" s="0" t="n">
        <v>15</v>
      </c>
      <c r="G4" s="0" t="n">
        <v>500</v>
      </c>
      <c r="H4" s="0" t="n">
        <v>1800</v>
      </c>
      <c r="I4" s="0" t="n">
        <v>1800</v>
      </c>
      <c r="J4" s="0" t="n">
        <v>1800</v>
      </c>
      <c r="K4" s="0" t="n">
        <v>713</v>
      </c>
      <c r="L4" s="0" t="n">
        <v>2739</v>
      </c>
      <c r="M4" s="0" t="n">
        <v>1</v>
      </c>
    </row>
    <row r="5" customFormat="false" ht="15" hidden="false" customHeight="false" outlineLevel="0" collapsed="false">
      <c r="A5" s="0" t="s">
        <v>16</v>
      </c>
      <c r="B5" s="0" t="n">
        <v>204.82245991728</v>
      </c>
      <c r="C5" s="0" t="n">
        <v>8</v>
      </c>
      <c r="D5" s="0" t="n">
        <v>500</v>
      </c>
      <c r="E5" s="0" t="n">
        <v>318.702322108578</v>
      </c>
      <c r="F5" s="0" t="n">
        <v>1</v>
      </c>
      <c r="G5" s="0" t="n">
        <v>500</v>
      </c>
      <c r="H5" s="0" t="e">
        <f aca="false">#NUM!</f>
        <v>#NUM!</v>
      </c>
      <c r="I5" s="0" t="e">
        <f aca="false">#NUM!</f>
        <v>#NUM!</v>
      </c>
      <c r="J5" s="0" t="e">
        <f aca="false">#NUM!</f>
        <v>#NUM!</v>
      </c>
      <c r="K5" s="0" t="n">
        <v>613</v>
      </c>
      <c r="L5" s="0" t="n">
        <v>2690</v>
      </c>
      <c r="M5" s="0" t="n">
        <v>0</v>
      </c>
    </row>
    <row r="6" customFormat="false" ht="15" hidden="false" customHeight="false" outlineLevel="0" collapsed="false">
      <c r="A6" s="0" t="s">
        <v>17</v>
      </c>
      <c r="B6" s="0" t="n">
        <v>258.967335159172</v>
      </c>
      <c r="C6" s="0" t="n">
        <v>8</v>
      </c>
      <c r="D6" s="0" t="n">
        <v>500</v>
      </c>
      <c r="E6" s="0" t="n">
        <v>243.248245381543</v>
      </c>
      <c r="F6" s="0" t="n">
        <v>8</v>
      </c>
      <c r="G6" s="0" t="n">
        <v>500</v>
      </c>
      <c r="H6" s="0" t="e">
        <f aca="false">#NUM!</f>
        <v>#NUM!</v>
      </c>
      <c r="I6" s="0" t="e">
        <f aca="false">#NUM!</f>
        <v>#NUM!</v>
      </c>
      <c r="J6" s="0" t="e">
        <f aca="false">#NUM!</f>
        <v>#NUM!</v>
      </c>
      <c r="K6" s="0" t="n">
        <v>539</v>
      </c>
      <c r="L6" s="0" t="n">
        <v>931</v>
      </c>
      <c r="M6" s="0" t="n">
        <v>0</v>
      </c>
    </row>
    <row r="7" customFormat="false" ht="15" hidden="false" customHeight="false" outlineLevel="0" collapsed="false">
      <c r="A7" s="0" t="s">
        <v>18</v>
      </c>
      <c r="B7" s="0" t="n">
        <v>642.235590676131</v>
      </c>
      <c r="C7" s="0" t="n">
        <v>8</v>
      </c>
      <c r="D7" s="0" t="n">
        <v>1500</v>
      </c>
      <c r="E7" s="0" t="n">
        <v>640.406904550678</v>
      </c>
      <c r="F7" s="0" t="n">
        <v>2</v>
      </c>
      <c r="G7" s="0" t="n">
        <v>1500</v>
      </c>
      <c r="H7" s="0" t="e">
        <f aca="false">#NUM!</f>
        <v>#NUM!</v>
      </c>
      <c r="I7" s="0" t="e">
        <f aca="false">#NUM!</f>
        <v>#NUM!</v>
      </c>
      <c r="J7" s="0" t="e">
        <f aca="false">#NUM!</f>
        <v>#NUM!</v>
      </c>
      <c r="K7" s="0" t="n">
        <v>2009</v>
      </c>
      <c r="L7" s="0" t="n">
        <v>2865</v>
      </c>
      <c r="M7" s="0" t="n">
        <v>0</v>
      </c>
    </row>
    <row r="8" customFormat="false" ht="15" hidden="false" customHeight="false" outlineLevel="0" collapsed="false">
      <c r="A8" s="0" t="s">
        <v>19</v>
      </c>
      <c r="B8" s="0" t="n">
        <v>384.561904761905</v>
      </c>
      <c r="C8" s="0" t="n">
        <v>8</v>
      </c>
      <c r="D8" s="0" t="n">
        <v>500</v>
      </c>
      <c r="E8" s="0" t="n">
        <v>605.58755960951</v>
      </c>
      <c r="F8" s="0" t="n">
        <v>8</v>
      </c>
      <c r="G8" s="0" t="n">
        <v>1000</v>
      </c>
      <c r="H8" s="0" t="e">
        <f aca="false">#NUM!</f>
        <v>#NUM!</v>
      </c>
      <c r="I8" s="0" t="e">
        <f aca="false">#NUM!</f>
        <v>#NUM!</v>
      </c>
      <c r="J8" s="0" t="e">
        <f aca="false">#NUM!</f>
        <v>#NUM!</v>
      </c>
      <c r="K8" s="0" t="n">
        <v>105</v>
      </c>
      <c r="L8" s="0" t="n">
        <v>3037</v>
      </c>
      <c r="M8" s="0" t="n">
        <v>0</v>
      </c>
    </row>
    <row r="9" customFormat="false" ht="15" hidden="false" customHeight="false" outlineLevel="0" collapsed="false">
      <c r="A9" s="0" t="s">
        <v>20</v>
      </c>
      <c r="B9" s="0" t="n">
        <v>49.1666666666667</v>
      </c>
      <c r="C9" s="0" t="n">
        <v>45</v>
      </c>
      <c r="D9" s="0" t="n">
        <v>50</v>
      </c>
      <c r="E9" s="0" t="n">
        <v>176.948820479112</v>
      </c>
      <c r="F9" s="0" t="n">
        <v>20</v>
      </c>
      <c r="G9" s="0" t="n">
        <v>250</v>
      </c>
      <c r="H9" s="0" t="e">
        <f aca="false">#NUM!</f>
        <v>#NUM!</v>
      </c>
      <c r="I9" s="0" t="e">
        <f aca="false">#NUM!</f>
        <v>#NUM!</v>
      </c>
      <c r="J9" s="0" t="e">
        <f aca="false">#NUM!</f>
        <v>#NUM!</v>
      </c>
      <c r="K9" s="0" t="n">
        <v>6</v>
      </c>
      <c r="L9" s="0" t="n">
        <v>978</v>
      </c>
      <c r="M9" s="0" t="n">
        <v>0</v>
      </c>
    </row>
    <row r="10" customFormat="false" ht="15" hidden="false" customHeight="false" outlineLevel="0" collapsed="false">
      <c r="A10" s="0" t="s">
        <v>21</v>
      </c>
      <c r="B10" s="0" t="n">
        <v>43.0731707317073</v>
      </c>
      <c r="C10" s="0" t="n">
        <v>8</v>
      </c>
      <c r="D10" s="0" t="n">
        <v>50</v>
      </c>
      <c r="E10" s="0" t="n">
        <v>174.322953117594</v>
      </c>
      <c r="F10" s="0" t="n">
        <v>8</v>
      </c>
      <c r="G10" s="0" t="n">
        <v>350</v>
      </c>
      <c r="H10" s="0" t="e">
        <f aca="false">#NUM!</f>
        <v>#NUM!</v>
      </c>
      <c r="I10" s="0" t="e">
        <f aca="false">#NUM!</f>
        <v>#NUM!</v>
      </c>
      <c r="J10" s="0" t="e">
        <f aca="false">#NUM!</f>
        <v>#NUM!</v>
      </c>
      <c r="K10" s="0" t="n">
        <v>41</v>
      </c>
      <c r="L10" s="0" t="n">
        <v>2834</v>
      </c>
      <c r="M10" s="0" t="n">
        <v>0</v>
      </c>
    </row>
    <row r="11" customFormat="false" ht="15" hidden="false" customHeight="false" outlineLevel="0" collapsed="false">
      <c r="A11" s="0" t="s">
        <v>22</v>
      </c>
      <c r="B11" s="0" t="n">
        <v>191.77408494623</v>
      </c>
      <c r="C11" s="0" t="n">
        <v>1</v>
      </c>
      <c r="D11" s="0" t="n">
        <v>400</v>
      </c>
      <c r="E11" s="0" t="n">
        <v>194.835923118297</v>
      </c>
      <c r="F11" s="0" t="n">
        <v>3</v>
      </c>
      <c r="G11" s="0" t="n">
        <v>400</v>
      </c>
      <c r="H11" s="0" t="e">
        <f aca="false">#NUM!</f>
        <v>#NUM!</v>
      </c>
      <c r="I11" s="0" t="e">
        <f aca="false">#NUM!</f>
        <v>#NUM!</v>
      </c>
      <c r="J11" s="0" t="e">
        <f aca="false">#NUM!</f>
        <v>#NUM!</v>
      </c>
      <c r="K11" s="0" t="n">
        <v>1226</v>
      </c>
      <c r="L11" s="0" t="n">
        <v>3301</v>
      </c>
      <c r="M11" s="0" t="n">
        <v>0</v>
      </c>
    </row>
    <row r="12" customFormat="false" ht="15" hidden="false" customHeight="false" outlineLevel="0" collapsed="false">
      <c r="A12" s="0" t="s">
        <v>23</v>
      </c>
      <c r="B12" s="0" t="n">
        <v>68.2033696690368</v>
      </c>
      <c r="C12" s="0" t="n">
        <v>8</v>
      </c>
      <c r="D12" s="0" t="n">
        <v>100</v>
      </c>
      <c r="E12" s="0" t="n">
        <v>140.666790635765</v>
      </c>
      <c r="F12" s="0" t="n">
        <v>1</v>
      </c>
      <c r="G12" s="0" t="n">
        <v>300</v>
      </c>
      <c r="H12" s="0" t="e">
        <f aca="false">#NUM!</f>
        <v>#NUM!</v>
      </c>
      <c r="I12" s="0" t="e">
        <f aca="false">#NUM!</f>
        <v>#NUM!</v>
      </c>
      <c r="J12" s="0" t="e">
        <f aca="false">#NUM!</f>
        <v>#NUM!</v>
      </c>
      <c r="K12" s="0" t="n">
        <v>1282</v>
      </c>
      <c r="L12" s="0" t="n">
        <v>4044</v>
      </c>
      <c r="M12" s="0" t="n">
        <v>0</v>
      </c>
    </row>
    <row r="13" customFormat="false" ht="15" hidden="false" customHeight="false" outlineLevel="0" collapsed="false">
      <c r="A13" s="0" t="s">
        <v>24</v>
      </c>
      <c r="B13" s="0" t="n">
        <v>156.903225806452</v>
      </c>
      <c r="C13" s="0" t="n">
        <v>8</v>
      </c>
      <c r="D13" s="0" t="n">
        <v>500</v>
      </c>
      <c r="E13" s="0" t="n">
        <v>182.303289989743</v>
      </c>
      <c r="F13" s="0" t="n">
        <v>10</v>
      </c>
      <c r="G13" s="0" t="n">
        <v>500</v>
      </c>
      <c r="H13" s="0" t="e">
        <f aca="false">#NUM!</f>
        <v>#NUM!</v>
      </c>
      <c r="I13" s="0" t="e">
        <f aca="false">#NUM!</f>
        <v>#NUM!</v>
      </c>
      <c r="J13" s="0" t="e">
        <f aca="false">#NUM!</f>
        <v>#NUM!</v>
      </c>
      <c r="K13" s="0" t="n">
        <v>31</v>
      </c>
      <c r="L13" s="0" t="n">
        <v>1359</v>
      </c>
      <c r="M13" s="0" t="n">
        <v>0</v>
      </c>
    </row>
    <row r="14" customFormat="false" ht="15" hidden="false" customHeight="false" outlineLevel="0" collapsed="false">
      <c r="A14" s="0" t="s">
        <v>25</v>
      </c>
      <c r="B14" s="0" t="n">
        <v>37.4634146341463</v>
      </c>
      <c r="C14" s="0" t="n">
        <v>6</v>
      </c>
      <c r="D14" s="0" t="n">
        <v>50</v>
      </c>
      <c r="E14" s="0" t="n">
        <v>75.9700726417996</v>
      </c>
      <c r="F14" s="0" t="n">
        <v>1</v>
      </c>
      <c r="G14" s="0" t="n">
        <v>100</v>
      </c>
      <c r="H14" s="0" t="e">
        <f aca="false">#NUM!</f>
        <v>#NUM!</v>
      </c>
      <c r="I14" s="0" t="e">
        <f aca="false">#NUM!</f>
        <v>#NUM!</v>
      </c>
      <c r="J14" s="0" t="e">
        <f aca="false">#NUM!</f>
        <v>#NUM!</v>
      </c>
      <c r="K14" s="0" t="n">
        <v>82</v>
      </c>
      <c r="L14" s="0" t="n">
        <v>2956</v>
      </c>
      <c r="M14" s="0" t="n">
        <v>0</v>
      </c>
    </row>
    <row r="15" customFormat="false" ht="15" hidden="false" customHeight="false" outlineLevel="0" collapsed="false">
      <c r="A15" s="0" t="s">
        <v>26</v>
      </c>
      <c r="B15" s="0" t="n">
        <v>12.6666666666667</v>
      </c>
      <c r="C15" s="0" t="n">
        <v>8</v>
      </c>
      <c r="D15" s="0" t="n">
        <v>20</v>
      </c>
      <c r="E15" s="0" t="n">
        <v>121.0709305472</v>
      </c>
      <c r="F15" s="0" t="n">
        <v>5</v>
      </c>
      <c r="G15" s="0" t="n">
        <v>300</v>
      </c>
      <c r="H15" s="0" t="e">
        <f aca="false">#NUM!</f>
        <v>#NUM!</v>
      </c>
      <c r="I15" s="0" t="e">
        <f aca="false">#NUM!</f>
        <v>#NUM!</v>
      </c>
      <c r="J15" s="0" t="e">
        <f aca="false">#NUM!</f>
        <v>#NUM!</v>
      </c>
      <c r="K15" s="0" t="n">
        <v>3</v>
      </c>
      <c r="L15" s="0" t="n">
        <v>1438</v>
      </c>
      <c r="M15" s="0" t="n">
        <v>0</v>
      </c>
    </row>
    <row r="16" customFormat="false" ht="15" hidden="false" customHeight="false" outlineLevel="0" collapsed="false">
      <c r="A16" s="0" t="s">
        <v>27</v>
      </c>
      <c r="B16" s="0" t="n">
        <v>204.819936343515</v>
      </c>
      <c r="C16" s="0" t="n">
        <v>20</v>
      </c>
      <c r="D16" s="0" t="n">
        <v>300</v>
      </c>
      <c r="E16" s="0" t="n">
        <v>337.102287857258</v>
      </c>
      <c r="F16" s="0" t="n">
        <v>4</v>
      </c>
      <c r="G16" s="0" t="n">
        <v>600</v>
      </c>
      <c r="H16" s="0" t="e">
        <f aca="false">#NUM!</f>
        <v>#NUM!</v>
      </c>
      <c r="I16" s="0" t="e">
        <f aca="false">#NUM!</f>
        <v>#NUM!</v>
      </c>
      <c r="J16" s="0" t="e">
        <f aca="false">#NUM!</f>
        <v>#NUM!</v>
      </c>
      <c r="K16" s="0" t="n">
        <v>2163</v>
      </c>
      <c r="L16" s="0" t="n">
        <v>3189</v>
      </c>
      <c r="M16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 customFormat="false" ht="15" hidden="false" customHeight="false" outlineLevel="0" collapsed="false">
      <c r="A2" s="0" t="s">
        <v>36</v>
      </c>
      <c r="B2" s="0" t="n">
        <v>108.531862745098</v>
      </c>
      <c r="C2" s="0" t="n">
        <v>6</v>
      </c>
      <c r="D2" s="0" t="n">
        <v>150</v>
      </c>
      <c r="E2" s="0" t="n">
        <v>89.1872509960159</v>
      </c>
      <c r="F2" s="0" t="n">
        <v>3</v>
      </c>
      <c r="G2" s="0" t="n">
        <v>150</v>
      </c>
      <c r="H2" s="0" t="n">
        <v>816</v>
      </c>
      <c r="I2" s="0" t="n">
        <v>251</v>
      </c>
    </row>
    <row r="3" customFormat="false" ht="15" hidden="false" customHeight="false" outlineLevel="0" collapsed="false">
      <c r="A3" s="0" t="s">
        <v>37</v>
      </c>
      <c r="B3" s="0" t="n">
        <v>624.458620689655</v>
      </c>
      <c r="C3" s="0" t="n">
        <v>3</v>
      </c>
      <c r="D3" s="0" t="n">
        <v>2000</v>
      </c>
      <c r="E3" s="0" t="n">
        <v>328.153846153846</v>
      </c>
      <c r="F3" s="0" t="n">
        <v>20</v>
      </c>
      <c r="G3" s="0" t="n">
        <v>2000</v>
      </c>
      <c r="H3" s="0" t="n">
        <v>290</v>
      </c>
      <c r="I3" s="0" t="n">
        <v>104</v>
      </c>
    </row>
    <row r="4" customFormat="false" ht="15" hidden="false" customHeight="false" outlineLevel="0" collapsed="false">
      <c r="A4" s="0" t="s">
        <v>38</v>
      </c>
      <c r="B4" s="0" t="n">
        <v>367.42</v>
      </c>
      <c r="C4" s="0" t="n">
        <v>40</v>
      </c>
      <c r="D4" s="0" t="n">
        <v>5600</v>
      </c>
      <c r="E4" s="0" t="n">
        <v>298.919117647059</v>
      </c>
      <c r="F4" s="0" t="n">
        <v>8</v>
      </c>
      <c r="G4" s="0" t="n">
        <v>2000</v>
      </c>
      <c r="H4" s="0" t="n">
        <v>400</v>
      </c>
      <c r="I4" s="0" t="n">
        <v>136</v>
      </c>
    </row>
    <row r="5" customFormat="false" ht="15" hidden="false" customHeight="false" outlineLevel="0" collapsed="false">
      <c r="A5" s="0" t="s">
        <v>39</v>
      </c>
      <c r="B5" s="0" t="n">
        <v>1128.05825242718</v>
      </c>
      <c r="C5" s="0" t="n">
        <v>100</v>
      </c>
      <c r="D5" s="0" t="n">
        <v>15000</v>
      </c>
      <c r="E5" s="0" t="n">
        <v>1018.53191489362</v>
      </c>
      <c r="F5" s="0" t="n">
        <v>8</v>
      </c>
      <c r="G5" s="0" t="n">
        <v>50000</v>
      </c>
      <c r="H5" s="0" t="n">
        <v>103</v>
      </c>
      <c r="I5" s="0" t="n">
        <v>141</v>
      </c>
    </row>
    <row r="6" customFormat="false" ht="15" hidden="false" customHeight="false" outlineLevel="0" collapsed="false">
      <c r="A6" s="0" t="s">
        <v>40</v>
      </c>
      <c r="B6" s="0" t="n">
        <v>548.747211895911</v>
      </c>
      <c r="C6" s="0" t="n">
        <v>8</v>
      </c>
      <c r="D6" s="0" t="n">
        <v>3840</v>
      </c>
      <c r="E6" s="0" t="n">
        <v>650.551219512195</v>
      </c>
      <c r="F6" s="0" t="n">
        <v>8</v>
      </c>
      <c r="G6" s="0" t="n">
        <v>4000</v>
      </c>
      <c r="H6" s="0" t="n">
        <v>269</v>
      </c>
      <c r="I6" s="0" t="n">
        <v>205</v>
      </c>
    </row>
    <row r="7" customFormat="false" ht="15" hidden="false" customHeight="false" outlineLevel="0" collapsed="false">
      <c r="A7" s="0" t="s">
        <v>41</v>
      </c>
      <c r="B7" s="0" t="n">
        <v>359.917293233083</v>
      </c>
      <c r="C7" s="0" t="n">
        <v>20</v>
      </c>
      <c r="D7" s="0" t="n">
        <v>1500</v>
      </c>
      <c r="E7" s="0" t="n">
        <v>273.787878787879</v>
      </c>
      <c r="F7" s="0" t="n">
        <v>15</v>
      </c>
      <c r="G7" s="0" t="n">
        <v>2000</v>
      </c>
      <c r="H7" s="0" t="n">
        <v>133</v>
      </c>
      <c r="I7" s="0" t="n">
        <v>33</v>
      </c>
    </row>
    <row r="8" customFormat="false" ht="15" hidden="false" customHeight="false" outlineLevel="0" collapsed="false">
      <c r="A8" s="0" t="s">
        <v>42</v>
      </c>
      <c r="B8" s="0" t="n">
        <v>177.728744939271</v>
      </c>
      <c r="C8" s="0" t="n">
        <v>20</v>
      </c>
      <c r="D8" s="0" t="n">
        <v>300</v>
      </c>
      <c r="E8" s="0" t="n">
        <v>124.246666666667</v>
      </c>
      <c r="F8" s="0" t="n">
        <v>20</v>
      </c>
      <c r="G8" s="0" t="n">
        <v>300</v>
      </c>
      <c r="H8" s="0" t="n">
        <v>494</v>
      </c>
      <c r="I8" s="0" t="n">
        <v>150</v>
      </c>
    </row>
    <row r="9" customFormat="false" ht="15" hidden="false" customHeight="false" outlineLevel="0" collapsed="false">
      <c r="A9" s="0" t="s">
        <v>43</v>
      </c>
      <c r="B9" s="0" t="n">
        <v>239.922670191672</v>
      </c>
      <c r="C9" s="0" t="n">
        <v>10</v>
      </c>
      <c r="D9" s="0" t="n">
        <v>3000</v>
      </c>
      <c r="E9" s="0" t="n">
        <v>214.957166392092</v>
      </c>
      <c r="F9" s="0" t="n">
        <v>5</v>
      </c>
      <c r="G9" s="0" t="n">
        <v>14000</v>
      </c>
      <c r="H9" s="0" t="n">
        <v>1513</v>
      </c>
      <c r="I9" s="0" t="n">
        <v>607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44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</row>
    <row r="2" customFormat="false" ht="15" hidden="false" customHeight="false" outlineLevel="0" collapsed="false">
      <c r="A2" s="0" t="s">
        <v>53</v>
      </c>
      <c r="B2" s="0" t="n">
        <v>6258.54367934224</v>
      </c>
      <c r="C2" s="0" t="n">
        <v>15</v>
      </c>
      <c r="D2" s="0" t="n">
        <v>300000</v>
      </c>
      <c r="E2" s="0" t="e">
        <f aca="false">#NUM!</f>
        <v>#NUM!</v>
      </c>
      <c r="F2" s="0" t="e">
        <f aca="false">#NUM!</f>
        <v>#NUM!</v>
      </c>
      <c r="G2" s="0" t="e">
        <f aca="false">#NUM!</f>
        <v>#NUM!</v>
      </c>
      <c r="H2" s="0" t="n">
        <v>1946</v>
      </c>
      <c r="I2" s="0" t="n">
        <v>0</v>
      </c>
    </row>
    <row r="3" customFormat="false" ht="15" hidden="false" customHeight="false" outlineLevel="0" collapsed="false">
      <c r="A3" s="0" t="s">
        <v>54</v>
      </c>
      <c r="B3" s="0" t="n">
        <v>5632.55546075085</v>
      </c>
      <c r="C3" s="0" t="n">
        <v>100</v>
      </c>
      <c r="D3" s="0" t="n">
        <v>70000</v>
      </c>
      <c r="E3" s="0" t="e">
        <f aca="false">#NUM!</f>
        <v>#NUM!</v>
      </c>
      <c r="F3" s="0" t="e">
        <f aca="false">#NUM!</f>
        <v>#NUM!</v>
      </c>
      <c r="G3" s="0" t="e">
        <f aca="false">#NUM!</f>
        <v>#NUM!</v>
      </c>
      <c r="H3" s="0" t="n">
        <v>1172</v>
      </c>
      <c r="I3" s="0" t="n">
        <v>0</v>
      </c>
    </row>
    <row r="4" customFormat="false" ht="15" hidden="false" customHeight="false" outlineLevel="0" collapsed="false">
      <c r="A4" s="0" t="s">
        <v>55</v>
      </c>
      <c r="B4" s="0" t="n">
        <v>14651.8181818182</v>
      </c>
      <c r="C4" s="0" t="n">
        <v>150</v>
      </c>
      <c r="D4" s="0" t="n">
        <v>150000</v>
      </c>
      <c r="E4" s="0" t="e">
        <f aca="false">#NUM!</f>
        <v>#NUM!</v>
      </c>
      <c r="F4" s="0" t="e">
        <f aca="false">#NUM!</f>
        <v>#NUM!</v>
      </c>
      <c r="G4" s="0" t="e">
        <f aca="false">#NUM!</f>
        <v>#NUM!</v>
      </c>
      <c r="H4" s="0" t="n">
        <v>55</v>
      </c>
      <c r="I4" s="0" t="n">
        <v>0</v>
      </c>
    </row>
    <row r="5" customFormat="false" ht="15" hidden="false" customHeight="false" outlineLevel="0" collapsed="false">
      <c r="A5" s="0" t="s">
        <v>56</v>
      </c>
      <c r="B5" s="0" t="n">
        <v>1245.46134766432</v>
      </c>
      <c r="C5" s="0" t="n">
        <v>15</v>
      </c>
      <c r="D5" s="0" t="n">
        <v>35000</v>
      </c>
      <c r="E5" s="0" t="e">
        <f aca="false">#NUM!</f>
        <v>#NUM!</v>
      </c>
      <c r="F5" s="0" t="e">
        <f aca="false">#NUM!</f>
        <v>#NUM!</v>
      </c>
      <c r="G5" s="0" t="e">
        <f aca="false">#NUM!</f>
        <v>#NUM!</v>
      </c>
      <c r="H5" s="0" t="n">
        <v>2419</v>
      </c>
      <c r="I5" s="0" t="n">
        <v>0</v>
      </c>
    </row>
    <row r="6" customFormat="false" ht="15" hidden="false" customHeight="false" outlineLevel="0" collapsed="false">
      <c r="A6" s="0" t="s">
        <v>57</v>
      </c>
      <c r="B6" s="0" t="n">
        <v>3055.16780045351</v>
      </c>
      <c r="C6" s="0" t="n">
        <v>50</v>
      </c>
      <c r="D6" s="0" t="n">
        <v>35000</v>
      </c>
      <c r="E6" s="0" t="e">
        <f aca="false">#NUM!</f>
        <v>#NUM!</v>
      </c>
      <c r="F6" s="0" t="e">
        <f aca="false">#NUM!</f>
        <v>#NUM!</v>
      </c>
      <c r="G6" s="0" t="e">
        <f aca="false">#NUM!</f>
        <v>#NUM!</v>
      </c>
      <c r="H6" s="0" t="n">
        <v>441</v>
      </c>
      <c r="I6" s="0" t="n">
        <v>0</v>
      </c>
    </row>
    <row r="7" customFormat="false" ht="15" hidden="false" customHeight="false" outlineLevel="0" collapsed="false">
      <c r="A7" s="0" t="s">
        <v>58</v>
      </c>
      <c r="B7" s="0" t="n">
        <v>22543.6954362734</v>
      </c>
      <c r="C7" s="0" t="n">
        <v>250</v>
      </c>
      <c r="D7" s="0" t="n">
        <v>100000</v>
      </c>
      <c r="E7" s="0" t="e">
        <f aca="false">#NUM!</f>
        <v>#NUM!</v>
      </c>
      <c r="F7" s="0" t="e">
        <f aca="false">#NUM!</f>
        <v>#NUM!</v>
      </c>
      <c r="G7" s="0" t="e">
        <f aca="false">#NUM!</f>
        <v>#NUM!</v>
      </c>
      <c r="H7" s="0" t="n">
        <v>4229</v>
      </c>
      <c r="I7" s="0" t="n">
        <v>0</v>
      </c>
    </row>
    <row r="8" customFormat="false" ht="15" hidden="false" customHeight="false" outlineLevel="0" collapsed="false">
      <c r="A8" s="0" t="s">
        <v>59</v>
      </c>
      <c r="B8" s="0" t="n">
        <v>8929.96041470311</v>
      </c>
      <c r="C8" s="0" t="n">
        <v>3</v>
      </c>
      <c r="D8" s="0" t="n">
        <v>25000</v>
      </c>
      <c r="E8" s="0" t="e">
        <f aca="false">#NUM!</f>
        <v>#NUM!</v>
      </c>
      <c r="F8" s="0" t="e">
        <f aca="false">#NUM!</f>
        <v>#NUM!</v>
      </c>
      <c r="G8" s="0" t="e">
        <f aca="false">#NUM!</f>
        <v>#NUM!</v>
      </c>
      <c r="H8" s="0" t="n">
        <v>1061</v>
      </c>
      <c r="I8" s="0" t="n">
        <v>0</v>
      </c>
    </row>
    <row r="9" customFormat="false" ht="15" hidden="false" customHeight="false" outlineLevel="0" collapsed="false">
      <c r="A9" s="0" t="s">
        <v>60</v>
      </c>
      <c r="B9" s="0" t="n">
        <v>19093.8018223235</v>
      </c>
      <c r="C9" s="0" t="n">
        <v>250</v>
      </c>
      <c r="D9" s="0" t="n">
        <v>150000</v>
      </c>
      <c r="E9" s="0" t="e">
        <f aca="false">#NUM!</f>
        <v>#NUM!</v>
      </c>
      <c r="F9" s="0" t="e">
        <f aca="false">#NUM!</f>
        <v>#NUM!</v>
      </c>
      <c r="G9" s="0" t="e">
        <f aca="false">#NUM!</f>
        <v>#NUM!</v>
      </c>
      <c r="H9" s="0" t="n">
        <v>439</v>
      </c>
      <c r="I9" s="0" t="n">
        <v>0</v>
      </c>
    </row>
    <row r="10" customFormat="false" ht="15" hidden="false" customHeight="false" outlineLevel="0" collapsed="false">
      <c r="A10" s="0" t="s">
        <v>61</v>
      </c>
      <c r="B10" s="0" t="n">
        <v>47140.5609284333</v>
      </c>
      <c r="C10" s="0" t="n">
        <v>150</v>
      </c>
      <c r="D10" s="0" t="n">
        <v>550000</v>
      </c>
      <c r="E10" s="0" t="e">
        <f aca="false">#NUM!</f>
        <v>#NUM!</v>
      </c>
      <c r="F10" s="0" t="e">
        <f aca="false">#NUM!</f>
        <v>#NUM!</v>
      </c>
      <c r="G10" s="0" t="e">
        <f aca="false">#NUM!</f>
        <v>#NUM!</v>
      </c>
      <c r="H10" s="0" t="n">
        <v>517</v>
      </c>
      <c r="I10" s="0" t="n">
        <v>0</v>
      </c>
    </row>
    <row r="11" customFormat="false" ht="15" hidden="false" customHeight="false" outlineLevel="0" collapsed="false">
      <c r="A11" s="0" t="s">
        <v>62</v>
      </c>
      <c r="B11" s="0" t="n">
        <v>4705.48913328096</v>
      </c>
      <c r="C11" s="0" t="n">
        <v>16</v>
      </c>
      <c r="D11" s="0" t="n">
        <v>25000</v>
      </c>
      <c r="E11" s="0" t="e">
        <f aca="false">#NUM!</f>
        <v>#NUM!</v>
      </c>
      <c r="F11" s="0" t="e">
        <f aca="false">#NUM!</f>
        <v>#NUM!</v>
      </c>
      <c r="G11" s="0" t="e">
        <f aca="false">#NUM!</f>
        <v>#NUM!</v>
      </c>
      <c r="H11" s="0" t="n">
        <v>3819</v>
      </c>
      <c r="I11" s="0" t="n">
        <v>0</v>
      </c>
    </row>
    <row r="12" customFormat="false" ht="15" hidden="false" customHeight="false" outlineLevel="0" collapsed="false">
      <c r="A12" s="0" t="s">
        <v>63</v>
      </c>
      <c r="B12" s="0" t="n">
        <v>48448.1181494662</v>
      </c>
      <c r="C12" s="0" t="n">
        <v>10</v>
      </c>
      <c r="D12" s="0" t="n">
        <v>2100000</v>
      </c>
      <c r="E12" s="0" t="e">
        <f aca="false">#NUM!</f>
        <v>#NUM!</v>
      </c>
      <c r="F12" s="0" t="e">
        <f aca="false">#NUM!</f>
        <v>#NUM!</v>
      </c>
      <c r="G12" s="0" t="e">
        <f aca="false">#NUM!</f>
        <v>#NUM!</v>
      </c>
      <c r="H12" s="0" t="n">
        <v>4215</v>
      </c>
      <c r="I12" s="0" t="n">
        <v>0</v>
      </c>
    </row>
    <row r="13" customFormat="false" ht="15" hidden="false" customHeight="false" outlineLevel="0" collapsed="false">
      <c r="A13" s="0" t="s">
        <v>64</v>
      </c>
      <c r="B13" s="0" t="n">
        <v>26743.0603878116</v>
      </c>
      <c r="C13" s="0" t="n">
        <v>1</v>
      </c>
      <c r="D13" s="0" t="n">
        <v>126000</v>
      </c>
      <c r="E13" s="0" t="e">
        <f aca="false">#NUM!</f>
        <v>#NUM!</v>
      </c>
      <c r="F13" s="0" t="e">
        <f aca="false">#NUM!</f>
        <v>#NUM!</v>
      </c>
      <c r="G13" s="0" t="e">
        <f aca="false">#NUM!</f>
        <v>#NUM!</v>
      </c>
      <c r="H13" s="0" t="n">
        <v>1805</v>
      </c>
      <c r="I13" s="0" t="n">
        <v>0</v>
      </c>
    </row>
    <row r="14" customFormat="false" ht="15" hidden="false" customHeight="false" outlineLevel="0" collapsed="false">
      <c r="A14" s="0" t="s">
        <v>65</v>
      </c>
      <c r="B14" s="0" t="n">
        <v>30129.7086092715</v>
      </c>
      <c r="C14" s="0" t="n">
        <v>1</v>
      </c>
      <c r="D14" s="0" t="n">
        <v>600000</v>
      </c>
      <c r="E14" s="0" t="e">
        <f aca="false">#NUM!</f>
        <v>#NUM!</v>
      </c>
      <c r="F14" s="0" t="e">
        <f aca="false">#NUM!</f>
        <v>#NUM!</v>
      </c>
      <c r="G14" s="0" t="e">
        <f aca="false">#NUM!</f>
        <v>#NUM!</v>
      </c>
      <c r="H14" s="0" t="n">
        <v>453</v>
      </c>
      <c r="I14" s="0" t="n">
        <v>0</v>
      </c>
    </row>
    <row r="15" customFormat="false" ht="15" hidden="false" customHeight="false" outlineLevel="0" collapsed="false">
      <c r="A15" s="0" t="s">
        <v>66</v>
      </c>
      <c r="B15" s="0" t="n">
        <v>7434.70556552962</v>
      </c>
      <c r="C15" s="0" t="n">
        <v>50</v>
      </c>
      <c r="D15" s="0" t="n">
        <v>50000</v>
      </c>
      <c r="E15" s="0" t="n">
        <v>1367.31067961165</v>
      </c>
      <c r="F15" s="0" t="n">
        <v>8</v>
      </c>
      <c r="G15" s="0" t="n">
        <v>5000</v>
      </c>
      <c r="H15" s="0" t="n">
        <v>557</v>
      </c>
      <c r="I15" s="0" t="n">
        <v>103</v>
      </c>
    </row>
    <row r="16" customFormat="false" ht="15" hidden="false" customHeight="false" outlineLevel="0" collapsed="false">
      <c r="A16" s="0" t="s">
        <v>67</v>
      </c>
      <c r="B16" s="0" t="n">
        <v>43118.0662824207</v>
      </c>
      <c r="C16" s="0" t="n">
        <v>67</v>
      </c>
      <c r="D16" s="0" t="n">
        <v>350000</v>
      </c>
      <c r="E16" s="0" t="e">
        <f aca="false">#NUM!</f>
        <v>#NUM!</v>
      </c>
      <c r="F16" s="0" t="e">
        <f aca="false">#NUM!</f>
        <v>#NUM!</v>
      </c>
      <c r="G16" s="0" t="e">
        <f aca="false">#NUM!</f>
        <v>#NUM!</v>
      </c>
      <c r="H16" s="0" t="n">
        <v>1041</v>
      </c>
      <c r="I16" s="0" t="n">
        <v>0</v>
      </c>
    </row>
    <row r="17" customFormat="false" ht="15" hidden="false" customHeight="false" outlineLevel="0" collapsed="false">
      <c r="A17" s="0" t="s">
        <v>68</v>
      </c>
      <c r="B17" s="0" t="n">
        <v>49058.6046511628</v>
      </c>
      <c r="C17" s="0" t="n">
        <v>50</v>
      </c>
      <c r="D17" s="0" t="n">
        <v>300000</v>
      </c>
      <c r="E17" s="0" t="e">
        <f aca="false">#NUM!</f>
        <v>#NUM!</v>
      </c>
      <c r="F17" s="0" t="e">
        <f aca="false">#NUM!</f>
        <v>#NUM!</v>
      </c>
      <c r="G17" s="0" t="e">
        <f aca="false">#NUM!</f>
        <v>#NUM!</v>
      </c>
      <c r="H17" s="0" t="n">
        <v>215</v>
      </c>
      <c r="I17" s="0" t="n">
        <v>0</v>
      </c>
    </row>
    <row r="18" customFormat="false" ht="15" hidden="false" customHeight="false" outlineLevel="0" collapsed="false">
      <c r="A18" s="0" t="s">
        <v>69</v>
      </c>
      <c r="B18" s="0" t="n">
        <v>4889.24013157895</v>
      </c>
      <c r="C18" s="0" t="n">
        <v>1</v>
      </c>
      <c r="D18" s="0" t="n">
        <v>75000</v>
      </c>
      <c r="E18" s="0" t="e">
        <f aca="false">#NUM!</f>
        <v>#NUM!</v>
      </c>
      <c r="F18" s="0" t="e">
        <f aca="false">#NUM!</f>
        <v>#NUM!</v>
      </c>
      <c r="G18" s="0" t="e">
        <f aca="false">#NUM!</f>
        <v>#NUM!</v>
      </c>
      <c r="H18" s="0" t="n">
        <v>304</v>
      </c>
      <c r="I18" s="0" t="n">
        <v>0</v>
      </c>
    </row>
    <row r="19" customFormat="false" ht="15" hidden="false" customHeight="false" outlineLevel="0" collapsed="false">
      <c r="A19" s="0" t="s">
        <v>70</v>
      </c>
      <c r="B19" s="0" t="n">
        <v>3526.00781589231</v>
      </c>
      <c r="C19" s="0" t="n">
        <v>1</v>
      </c>
      <c r="D19" s="0" t="n">
        <v>10000</v>
      </c>
      <c r="E19" s="0" t="e">
        <f aca="false">#NUM!</f>
        <v>#NUM!</v>
      </c>
      <c r="F19" s="0" t="e">
        <f aca="false">#NUM!</f>
        <v>#NUM!</v>
      </c>
      <c r="G19" s="0" t="e">
        <f aca="false">#NUM!</f>
        <v>#NUM!</v>
      </c>
      <c r="H19" s="0" t="n">
        <v>2303</v>
      </c>
      <c r="I19" s="0" t="n">
        <v>0</v>
      </c>
    </row>
    <row r="20" customFormat="false" ht="15" hidden="false" customHeight="false" outlineLevel="0" collapsed="false">
      <c r="A20" s="0" t="s">
        <v>71</v>
      </c>
      <c r="B20" s="0" t="n">
        <v>7368.13845144357</v>
      </c>
      <c r="C20" s="0" t="n">
        <v>50</v>
      </c>
      <c r="D20" s="0" t="n">
        <v>360000</v>
      </c>
      <c r="E20" s="0" t="e">
        <f aca="false">#NUM!</f>
        <v>#NUM!</v>
      </c>
      <c r="F20" s="0" t="e">
        <f aca="false">#NUM!</f>
        <v>#NUM!</v>
      </c>
      <c r="G20" s="0" t="e">
        <f aca="false">#NUM!</f>
        <v>#NUM!</v>
      </c>
      <c r="H20" s="0" t="n">
        <v>1524</v>
      </c>
      <c r="I20" s="0" t="n">
        <v>0</v>
      </c>
    </row>
    <row r="21" customFormat="false" ht="15" hidden="false" customHeight="false" outlineLevel="0" collapsed="false">
      <c r="A21" s="0" t="s">
        <v>72</v>
      </c>
      <c r="B21" s="0" t="n">
        <v>9655.4021177686</v>
      </c>
      <c r="C21" s="0" t="n">
        <v>30</v>
      </c>
      <c r="D21" s="0" t="n">
        <v>40000</v>
      </c>
      <c r="E21" s="0" t="e">
        <f aca="false">#NUM!</f>
        <v>#NUM!</v>
      </c>
      <c r="F21" s="0" t="e">
        <f aca="false">#NUM!</f>
        <v>#NUM!</v>
      </c>
      <c r="G21" s="0" t="e">
        <f aca="false">#NUM!</f>
        <v>#NUM!</v>
      </c>
      <c r="H21" s="0" t="n">
        <v>3872</v>
      </c>
      <c r="I21" s="0" t="n">
        <v>0</v>
      </c>
    </row>
    <row r="22" customFormat="false" ht="15" hidden="false" customHeight="false" outlineLevel="0" collapsed="false">
      <c r="A22" s="0" t="s">
        <v>73</v>
      </c>
      <c r="B22" s="0" t="n">
        <v>3115.54222648752</v>
      </c>
      <c r="C22" s="0" t="n">
        <v>20</v>
      </c>
      <c r="D22" s="0" t="n">
        <v>50000</v>
      </c>
      <c r="E22" s="0" t="e">
        <f aca="false">#NUM!</f>
        <v>#NUM!</v>
      </c>
      <c r="F22" s="0" t="e">
        <f aca="false">#NUM!</f>
        <v>#NUM!</v>
      </c>
      <c r="G22" s="0" t="e">
        <f aca="false">#NUM!</f>
        <v>#NUM!</v>
      </c>
      <c r="H22" s="0" t="n">
        <v>1042</v>
      </c>
      <c r="I22" s="0" t="n">
        <v>0</v>
      </c>
    </row>
    <row r="23" customFormat="false" ht="15" hidden="false" customHeight="false" outlineLevel="0" collapsed="false">
      <c r="A23" s="0" t="s">
        <v>74</v>
      </c>
      <c r="B23" s="0" t="n">
        <v>4898.72701421801</v>
      </c>
      <c r="C23" s="0" t="n">
        <v>7</v>
      </c>
      <c r="D23" s="0" t="n">
        <v>127200</v>
      </c>
      <c r="E23" s="0" t="e">
        <f aca="false">#NUM!</f>
        <v>#NUM!</v>
      </c>
      <c r="F23" s="0" t="e">
        <f aca="false">#NUM!</f>
        <v>#NUM!</v>
      </c>
      <c r="G23" s="0" t="e">
        <f aca="false">#NUM!</f>
        <v>#NUM!</v>
      </c>
      <c r="H23" s="0" t="n">
        <v>1055</v>
      </c>
      <c r="I23" s="0" t="n">
        <v>0</v>
      </c>
    </row>
    <row r="24" customFormat="false" ht="15" hidden="false" customHeight="false" outlineLevel="0" collapsed="false">
      <c r="A24" s="0" t="s">
        <v>75</v>
      </c>
      <c r="B24" s="0" t="n">
        <v>2841.92917015926</v>
      </c>
      <c r="C24" s="0" t="n">
        <v>20</v>
      </c>
      <c r="D24" s="0" t="n">
        <v>100000</v>
      </c>
      <c r="E24" s="0" t="e">
        <f aca="false">#NUM!</f>
        <v>#NUM!</v>
      </c>
      <c r="F24" s="0" t="e">
        <f aca="false">#NUM!</f>
        <v>#NUM!</v>
      </c>
      <c r="G24" s="0" t="e">
        <f aca="false">#NUM!</f>
        <v>#NUM!</v>
      </c>
      <c r="H24" s="0" t="n">
        <v>2386</v>
      </c>
      <c r="I24" s="0" t="n">
        <v>0</v>
      </c>
    </row>
    <row r="25" customFormat="false" ht="15" hidden="false" customHeight="false" outlineLevel="0" collapsed="false">
      <c r="A25" s="0" t="s">
        <v>76</v>
      </c>
      <c r="B25" s="0" t="n">
        <v>4338.95101701951</v>
      </c>
      <c r="C25" s="0" t="n">
        <v>100</v>
      </c>
      <c r="D25" s="0" t="n">
        <v>150000</v>
      </c>
      <c r="E25" s="0" t="e">
        <f aca="false">#NUM!</f>
        <v>#NUM!</v>
      </c>
      <c r="F25" s="0" t="e">
        <f aca="false">#NUM!</f>
        <v>#NUM!</v>
      </c>
      <c r="G25" s="0" t="e">
        <f aca="false">#NUM!</f>
        <v>#NUM!</v>
      </c>
      <c r="H25" s="0" t="n">
        <v>2409</v>
      </c>
      <c r="I25" s="0" t="n">
        <v>0</v>
      </c>
    </row>
    <row r="26" customFormat="false" ht="15" hidden="false" customHeight="false" outlineLevel="0" collapsed="false">
      <c r="A26" s="0" t="s">
        <v>77</v>
      </c>
      <c r="B26" s="0" t="n">
        <v>323659.582978723</v>
      </c>
      <c r="C26" s="0" t="n">
        <v>1</v>
      </c>
      <c r="D26" s="0" t="n">
        <v>7600000</v>
      </c>
      <c r="E26" s="0" t="e">
        <f aca="false">#NUM!</f>
        <v>#NUM!</v>
      </c>
      <c r="F26" s="0" t="e">
        <f aca="false">#NUM!</f>
        <v>#NUM!</v>
      </c>
      <c r="G26" s="0" t="e">
        <f aca="false">#NUM!</f>
        <v>#NUM!</v>
      </c>
      <c r="H26" s="0" t="n">
        <v>235</v>
      </c>
      <c r="I26" s="0" t="n">
        <v>0</v>
      </c>
    </row>
    <row r="27" customFormat="false" ht="15" hidden="false" customHeight="false" outlineLevel="0" collapsed="false">
      <c r="A27" s="0" t="s">
        <v>78</v>
      </c>
      <c r="B27" s="0" t="n">
        <v>14460.9037116729</v>
      </c>
      <c r="C27" s="0" t="n">
        <v>100</v>
      </c>
      <c r="D27" s="0" t="n">
        <v>468000</v>
      </c>
      <c r="E27" s="0" t="e">
        <f aca="false">#NUM!</f>
        <v>#NUM!</v>
      </c>
      <c r="F27" s="0" t="e">
        <f aca="false">#NUM!</f>
        <v>#NUM!</v>
      </c>
      <c r="G27" s="0" t="e">
        <f aca="false">#NUM!</f>
        <v>#NUM!</v>
      </c>
      <c r="H27" s="0" t="n">
        <v>1859</v>
      </c>
      <c r="I27" s="0" t="n">
        <v>0</v>
      </c>
    </row>
    <row r="28" customFormat="false" ht="15" hidden="false" customHeight="false" outlineLevel="0" collapsed="false">
      <c r="A28" s="0" t="s">
        <v>79</v>
      </c>
      <c r="B28" s="0" t="n">
        <v>53229.4817518248</v>
      </c>
      <c r="C28" s="0" t="n">
        <v>40</v>
      </c>
      <c r="D28" s="0" t="n">
        <v>1000000</v>
      </c>
      <c r="E28" s="0" t="e">
        <f aca="false">#NUM!</f>
        <v>#NUM!</v>
      </c>
      <c r="F28" s="0" t="e">
        <f aca="false">#NUM!</f>
        <v>#NUM!</v>
      </c>
      <c r="G28" s="0" t="e">
        <f aca="false">#NUM!</f>
        <v>#NUM!</v>
      </c>
      <c r="H28" s="0" t="n">
        <v>1096</v>
      </c>
      <c r="I28" s="0" t="n">
        <v>0</v>
      </c>
    </row>
    <row r="29" customFormat="false" ht="15" hidden="false" customHeight="false" outlineLevel="0" collapsed="false">
      <c r="A29" s="0" t="s">
        <v>80</v>
      </c>
      <c r="B29" s="0" t="n">
        <v>7564.30683170674</v>
      </c>
      <c r="C29" s="0" t="n">
        <v>6</v>
      </c>
      <c r="D29" s="0" t="n">
        <v>25000</v>
      </c>
      <c r="E29" s="0" t="e">
        <f aca="false">#NUM!</f>
        <v>#NUM!</v>
      </c>
      <c r="F29" s="0" t="e">
        <f aca="false">#NUM!</f>
        <v>#NUM!</v>
      </c>
      <c r="G29" s="0" t="e">
        <f aca="false">#NUM!</f>
        <v>#NUM!</v>
      </c>
      <c r="H29" s="0" t="n">
        <v>4201</v>
      </c>
      <c r="I29" s="0" t="n">
        <v>0</v>
      </c>
    </row>
    <row r="30" customFormat="false" ht="15" hidden="false" customHeight="false" outlineLevel="0" collapsed="false">
      <c r="A30" s="0" t="s">
        <v>81</v>
      </c>
      <c r="B30" s="0" t="n">
        <v>4762.50042122999</v>
      </c>
      <c r="C30" s="0" t="n">
        <v>50</v>
      </c>
      <c r="D30" s="0" t="n">
        <v>150000</v>
      </c>
      <c r="E30" s="0" t="e">
        <f aca="false">#NUM!</f>
        <v>#NUM!</v>
      </c>
      <c r="F30" s="0" t="e">
        <f aca="false">#NUM!</f>
        <v>#NUM!</v>
      </c>
      <c r="G30" s="0" t="e">
        <f aca="false">#NUM!</f>
        <v>#NUM!</v>
      </c>
      <c r="H30" s="0" t="n">
        <v>1187</v>
      </c>
      <c r="I30" s="0" t="n">
        <v>0</v>
      </c>
    </row>
    <row r="31" customFormat="false" ht="15" hidden="false" customHeight="false" outlineLevel="0" collapsed="false">
      <c r="A31" s="0" t="s">
        <v>82</v>
      </c>
      <c r="B31" s="0" t="n">
        <v>3420.74144486692</v>
      </c>
      <c r="C31" s="0" t="n">
        <v>50</v>
      </c>
      <c r="D31" s="0" t="n">
        <v>50000</v>
      </c>
      <c r="E31" s="0" t="e">
        <f aca="false">#NUM!</f>
        <v>#NUM!</v>
      </c>
      <c r="F31" s="0" t="e">
        <f aca="false">#NUM!</f>
        <v>#NUM!</v>
      </c>
      <c r="G31" s="0" t="e">
        <f aca="false">#NUM!</f>
        <v>#NUM!</v>
      </c>
      <c r="H31" s="0" t="n">
        <v>789</v>
      </c>
      <c r="I3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83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</row>
    <row r="2" customFormat="false" ht="15" hidden="false" customHeight="false" outlineLevel="0" collapsed="false">
      <c r="A2" s="0" t="s">
        <v>84</v>
      </c>
      <c r="B2" s="0" t="n">
        <v>22646.5</v>
      </c>
      <c r="C2" s="0" t="n">
        <v>750</v>
      </c>
      <c r="D2" s="0" t="n">
        <v>500000</v>
      </c>
      <c r="E2" s="0" t="n">
        <v>6000</v>
      </c>
      <c r="F2" s="0" t="n">
        <v>3000</v>
      </c>
      <c r="G2" s="0" t="n">
        <v>12000</v>
      </c>
      <c r="H2" s="0" t="n">
        <v>60</v>
      </c>
      <c r="I2" s="0" t="n">
        <v>3</v>
      </c>
    </row>
    <row r="3" customFormat="false" ht="15" hidden="false" customHeight="false" outlineLevel="0" collapsed="false">
      <c r="A3" s="0" t="s">
        <v>85</v>
      </c>
      <c r="B3" s="0" t="n">
        <v>11860.3214285714</v>
      </c>
      <c r="C3" s="0" t="n">
        <v>150</v>
      </c>
      <c r="D3" s="0" t="n">
        <v>350000</v>
      </c>
      <c r="E3" s="0" t="n">
        <v>2577.66666666667</v>
      </c>
      <c r="F3" s="0" t="n">
        <v>333</v>
      </c>
      <c r="G3" s="0" t="n">
        <v>7000</v>
      </c>
      <c r="H3" s="0" t="n">
        <v>84</v>
      </c>
      <c r="I3" s="0" t="n">
        <v>3</v>
      </c>
    </row>
    <row r="4" customFormat="false" ht="15" hidden="false" customHeight="false" outlineLevel="0" collapsed="false">
      <c r="A4" s="0" t="s">
        <v>86</v>
      </c>
      <c r="B4" s="0" t="n">
        <v>120138.75</v>
      </c>
      <c r="C4" s="0" t="n">
        <v>50</v>
      </c>
      <c r="D4" s="0" t="n">
        <v>875000</v>
      </c>
      <c r="E4" s="0" t="n">
        <v>2616.66666666667</v>
      </c>
      <c r="F4" s="0" t="n">
        <v>500</v>
      </c>
      <c r="G4" s="0" t="n">
        <v>5200</v>
      </c>
      <c r="H4" s="0" t="n">
        <v>16</v>
      </c>
      <c r="I4" s="0" t="n">
        <v>6</v>
      </c>
    </row>
    <row r="5" customFormat="false" ht="15" hidden="false" customHeight="false" outlineLevel="0" collapsed="false">
      <c r="A5" s="0" t="s">
        <v>87</v>
      </c>
      <c r="B5" s="0" t="n">
        <v>27353</v>
      </c>
      <c r="C5" s="0" t="n">
        <v>500</v>
      </c>
      <c r="D5" s="0" t="n">
        <v>400000</v>
      </c>
      <c r="E5" s="0" t="n">
        <v>6000</v>
      </c>
      <c r="F5" s="0" t="n">
        <v>5000</v>
      </c>
      <c r="G5" s="0" t="n">
        <v>7000</v>
      </c>
      <c r="H5" s="0" t="n">
        <v>40</v>
      </c>
      <c r="I5" s="0" t="n">
        <v>2</v>
      </c>
    </row>
    <row r="6" customFormat="false" ht="15" hidden="false" customHeight="false" outlineLevel="0" collapsed="false">
      <c r="A6" s="0" t="s">
        <v>88</v>
      </c>
      <c r="B6" s="0" t="n">
        <v>2698.88732394366</v>
      </c>
      <c r="C6" s="0" t="n">
        <v>50</v>
      </c>
      <c r="D6" s="0" t="n">
        <v>50000</v>
      </c>
      <c r="E6" s="0" t="n">
        <v>4323.08571428571</v>
      </c>
      <c r="F6" s="0" t="n">
        <v>50</v>
      </c>
      <c r="G6" s="0" t="n">
        <v>20000</v>
      </c>
      <c r="H6" s="0" t="n">
        <v>71</v>
      </c>
      <c r="I6" s="0" t="n">
        <v>35</v>
      </c>
    </row>
    <row r="7" customFormat="false" ht="15" hidden="false" customHeight="false" outlineLevel="0" collapsed="false">
      <c r="A7" s="0" t="s">
        <v>89</v>
      </c>
      <c r="B7" s="0" t="n">
        <v>11538.1818181818</v>
      </c>
      <c r="C7" s="0" t="n">
        <v>200</v>
      </c>
      <c r="D7" s="0" t="n">
        <v>100000</v>
      </c>
      <c r="E7" s="0" t="n">
        <v>8277.77777777778</v>
      </c>
      <c r="F7" s="0" t="n">
        <v>1500</v>
      </c>
      <c r="G7" s="0" t="n">
        <v>50000</v>
      </c>
      <c r="H7" s="0" t="n">
        <v>11</v>
      </c>
      <c r="I7" s="0" t="n">
        <v>9</v>
      </c>
    </row>
    <row r="8" customFormat="false" ht="15" hidden="false" customHeight="false" outlineLevel="0" collapsed="false">
      <c r="A8" s="0" t="s">
        <v>90</v>
      </c>
      <c r="B8" s="0" t="n">
        <v>11994.7682926829</v>
      </c>
      <c r="C8" s="0" t="n">
        <v>200</v>
      </c>
      <c r="D8" s="0" t="n">
        <v>150000</v>
      </c>
      <c r="E8" s="0" t="n">
        <v>4444.33333333333</v>
      </c>
      <c r="F8" s="0" t="n">
        <v>4000</v>
      </c>
      <c r="G8" s="0" t="n">
        <v>5000</v>
      </c>
      <c r="H8" s="0" t="n">
        <v>82</v>
      </c>
      <c r="I8" s="0" t="n">
        <v>6</v>
      </c>
    </row>
    <row r="9" customFormat="false" ht="15" hidden="false" customHeight="false" outlineLevel="0" collapsed="false">
      <c r="A9" s="0" t="s">
        <v>91</v>
      </c>
      <c r="B9" s="0" t="n">
        <v>132333.145833333</v>
      </c>
      <c r="C9" s="0" t="n">
        <v>3000</v>
      </c>
      <c r="D9" s="0" t="n">
        <v>4000000</v>
      </c>
      <c r="E9" s="0" t="n">
        <v>46875</v>
      </c>
      <c r="F9" s="0" t="n">
        <v>833</v>
      </c>
      <c r="G9" s="0" t="n">
        <v>400000</v>
      </c>
      <c r="H9" s="0" t="n">
        <v>96</v>
      </c>
      <c r="I9" s="0" t="n">
        <v>12</v>
      </c>
    </row>
    <row r="10" customFormat="false" ht="15" hidden="false" customHeight="false" outlineLevel="0" collapsed="false">
      <c r="A10" s="0" t="s">
        <v>92</v>
      </c>
      <c r="B10" s="0" t="n">
        <v>38606.6777777778</v>
      </c>
      <c r="C10" s="0" t="n">
        <v>800</v>
      </c>
      <c r="D10" s="0" t="n">
        <v>520000</v>
      </c>
      <c r="E10" s="0" t="n">
        <v>2944.5</v>
      </c>
      <c r="F10" s="0" t="n">
        <v>667</v>
      </c>
      <c r="G10" s="0" t="n">
        <v>8000</v>
      </c>
      <c r="H10" s="0" t="n">
        <v>90</v>
      </c>
      <c r="I10" s="0" t="n">
        <v>6</v>
      </c>
    </row>
    <row r="11" customFormat="false" ht="15" hidden="false" customHeight="false" outlineLevel="0" collapsed="false">
      <c r="A11" s="0" t="s">
        <v>93</v>
      </c>
      <c r="B11" s="0" t="n">
        <v>119149.333333333</v>
      </c>
      <c r="C11" s="0" t="n">
        <v>300</v>
      </c>
      <c r="D11" s="0" t="n">
        <v>850000</v>
      </c>
      <c r="E11" s="0" t="e">
        <f aca="false">#NUM!</f>
        <v>#NUM!</v>
      </c>
      <c r="F11" s="0" t="e">
        <f aca="false">#NUM!</f>
        <v>#NUM!</v>
      </c>
      <c r="G11" s="0" t="e">
        <f aca="false">#NUM!</f>
        <v>#NUM!</v>
      </c>
      <c r="H11" s="0" t="n">
        <v>15</v>
      </c>
      <c r="I1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94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</row>
    <row r="2" customFormat="false" ht="15" hidden="false" customHeight="false" outlineLevel="0" collapsed="false">
      <c r="A2" s="0" t="s">
        <v>95</v>
      </c>
      <c r="B2" s="0" t="n">
        <v>1909.59356725146</v>
      </c>
      <c r="C2" s="0" t="n">
        <v>3</v>
      </c>
      <c r="D2" s="0" t="n">
        <v>25000</v>
      </c>
      <c r="E2" s="0" t="n">
        <v>638.639175257732</v>
      </c>
      <c r="F2" s="0" t="n">
        <v>50</v>
      </c>
      <c r="G2" s="0" t="n">
        <v>6000</v>
      </c>
      <c r="H2" s="0" t="n">
        <v>342</v>
      </c>
      <c r="I2" s="0" t="n">
        <v>97</v>
      </c>
    </row>
    <row r="3" customFormat="false" ht="15" hidden="false" customHeight="false" outlineLevel="0" collapsed="false">
      <c r="A3" s="0" t="s">
        <v>96</v>
      </c>
      <c r="B3" s="0" t="n">
        <v>9077.375</v>
      </c>
      <c r="C3" s="0" t="n">
        <v>13</v>
      </c>
      <c r="D3" s="0" t="n">
        <v>360000</v>
      </c>
      <c r="E3" s="0" t="n">
        <v>1733.35189873418</v>
      </c>
      <c r="F3" s="0" t="n">
        <v>8</v>
      </c>
      <c r="G3" s="0" t="n">
        <v>65000</v>
      </c>
      <c r="H3" s="0" t="n">
        <v>912</v>
      </c>
      <c r="I3" s="0" t="n">
        <v>395</v>
      </c>
    </row>
    <row r="4" customFormat="false" ht="15" hidden="false" customHeight="false" outlineLevel="0" collapsed="false">
      <c r="A4" s="0" t="s">
        <v>97</v>
      </c>
      <c r="B4" s="0" t="n">
        <v>2467.85714285714</v>
      </c>
      <c r="C4" s="0" t="n">
        <v>300</v>
      </c>
      <c r="D4" s="0" t="n">
        <v>10000</v>
      </c>
      <c r="E4" s="0" t="n">
        <v>845.454545454545</v>
      </c>
      <c r="F4" s="0" t="n">
        <v>50</v>
      </c>
      <c r="G4" s="0" t="n">
        <v>5000</v>
      </c>
      <c r="H4" s="0" t="n">
        <v>28</v>
      </c>
      <c r="I4" s="0" t="n">
        <v>11</v>
      </c>
    </row>
    <row r="5" customFormat="false" ht="15" hidden="false" customHeight="false" outlineLevel="0" collapsed="false">
      <c r="A5" s="0" t="s">
        <v>98</v>
      </c>
      <c r="B5" s="0" t="n">
        <v>4557.14285714286</v>
      </c>
      <c r="C5" s="0" t="n">
        <v>400</v>
      </c>
      <c r="D5" s="0" t="n">
        <v>20000</v>
      </c>
      <c r="E5" s="0" t="n">
        <v>258.333333333333</v>
      </c>
      <c r="F5" s="0" t="n">
        <v>200</v>
      </c>
      <c r="G5" s="0" t="n">
        <v>375</v>
      </c>
      <c r="H5" s="0" t="n">
        <v>7</v>
      </c>
      <c r="I5" s="0" t="n">
        <v>3</v>
      </c>
    </row>
    <row r="6" customFormat="false" ht="15" hidden="false" customHeight="false" outlineLevel="0" collapsed="false">
      <c r="A6" s="0" t="s">
        <v>99</v>
      </c>
      <c r="B6" s="0" t="n">
        <v>2170.50437586366</v>
      </c>
      <c r="C6" s="0" t="n">
        <v>25</v>
      </c>
      <c r="D6" s="0" t="n">
        <v>115200</v>
      </c>
      <c r="E6" s="0" t="n">
        <v>362.694070080863</v>
      </c>
      <c r="F6" s="0" t="n">
        <v>8</v>
      </c>
      <c r="G6" s="0" t="n">
        <v>9600</v>
      </c>
      <c r="H6" s="0" t="n">
        <v>2171</v>
      </c>
      <c r="I6" s="0" t="n">
        <v>742</v>
      </c>
    </row>
    <row r="7" customFormat="false" ht="15" hidden="false" customHeight="false" outlineLevel="0" collapsed="false">
      <c r="A7" s="0" t="s">
        <v>100</v>
      </c>
      <c r="B7" s="0" t="n">
        <v>3058.13395638629</v>
      </c>
      <c r="C7" s="0" t="n">
        <v>6</v>
      </c>
      <c r="D7" s="0" t="n">
        <v>50000</v>
      </c>
      <c r="E7" s="0" t="n">
        <v>674.691666666667</v>
      </c>
      <c r="F7" s="0" t="n">
        <v>33</v>
      </c>
      <c r="G7" s="0" t="n">
        <v>5100</v>
      </c>
      <c r="H7" s="0" t="n">
        <v>321</v>
      </c>
      <c r="I7" s="0" t="n">
        <v>120</v>
      </c>
    </row>
    <row r="8" customFormat="false" ht="15" hidden="false" customHeight="false" outlineLevel="0" collapsed="false">
      <c r="A8" s="0" t="s">
        <v>101</v>
      </c>
      <c r="B8" s="0" t="n">
        <v>11346.3709677419</v>
      </c>
      <c r="C8" s="0" t="n">
        <v>300</v>
      </c>
      <c r="D8" s="0" t="n">
        <v>120000</v>
      </c>
      <c r="E8" s="0" t="n">
        <v>1403.84615384615</v>
      </c>
      <c r="F8" s="0" t="n">
        <v>100</v>
      </c>
      <c r="G8" s="0" t="n">
        <v>10000</v>
      </c>
      <c r="H8" s="0" t="n">
        <v>124</v>
      </c>
      <c r="I8" s="0" t="n">
        <v>52</v>
      </c>
    </row>
    <row r="9" customFormat="false" ht="15" hidden="false" customHeight="false" outlineLevel="0" collapsed="false">
      <c r="A9" s="0" t="s">
        <v>102</v>
      </c>
      <c r="B9" s="0" t="n">
        <v>17414.9787234043</v>
      </c>
      <c r="C9" s="0" t="n">
        <v>1</v>
      </c>
      <c r="D9" s="0" t="n">
        <v>150000</v>
      </c>
      <c r="E9" s="0" t="n">
        <v>1951.42857142857</v>
      </c>
      <c r="F9" s="0" t="n">
        <v>30</v>
      </c>
      <c r="G9" s="0" t="n">
        <v>12000</v>
      </c>
      <c r="H9" s="0" t="n">
        <v>47</v>
      </c>
      <c r="I9" s="0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2026-02-12T06:19:06Z</dcterms:created>
  <dc:creator>sobaakun</dc:creator>
  <dc:description/>
  <dc:language>en-US</dc:language>
  <cp:lastModifiedBy>sobaakun</cp:lastModifiedBy>
  <cp:revision>0</cp:revision>
  <dc:subject/>
  <dc:title/>
</cp:coreProperties>
</file>