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B SSF HIB\Preliminary Results\"/>
    </mc:Choice>
  </mc:AlternateContent>
  <xr:revisionPtr revIDLastSave="0" documentId="13_ncr:20001_{E3311BB8-E461-4B28-97F5-6FC8914C9A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ing File" sheetId="1" r:id="rId1"/>
    <sheet name="Sample Charecteristics" sheetId="2" r:id="rId2"/>
    <sheet name="Crosstabs" sheetId="3" r:id="rId3"/>
    <sheet name="Acute Illness Expenditure" sheetId="4" r:id="rId4"/>
    <sheet name="Chronic Outpatient Expenditure" sheetId="5" r:id="rId5"/>
    <sheet name="Chronic Inpatient Expenditure" sheetId="6" r:id="rId6"/>
    <sheet name="Draft OOPE" sheetId="7" r:id="rId7"/>
    <sheet name="PSM Literature" sheetId="8" r:id="rId8"/>
  </sheets>
  <calcPr calcId="181029"/>
  <fileRecoveryPr repairLoad="1"/>
</workbook>
</file>

<file path=xl/calcChain.xml><?xml version="1.0" encoding="utf-8"?>
<calcChain xmlns="http://schemas.openxmlformats.org/spreadsheetml/2006/main">
  <c r="E50" i="3" l="1"/>
  <c r="C50" i="3"/>
  <c r="E49" i="3"/>
  <c r="C49" i="3"/>
  <c r="E48" i="3"/>
  <c r="C48" i="3"/>
  <c r="E47" i="3"/>
  <c r="C47" i="3"/>
  <c r="E46" i="3"/>
  <c r="E51" i="3" s="1"/>
  <c r="C46" i="3"/>
  <c r="C51" i="3" s="1"/>
  <c r="U41" i="3"/>
  <c r="U40" i="3"/>
  <c r="E40" i="3"/>
  <c r="U39" i="3"/>
  <c r="E39" i="3"/>
  <c r="C39" i="3"/>
  <c r="U38" i="3"/>
  <c r="E38" i="3"/>
  <c r="C38" i="3"/>
  <c r="U37" i="3"/>
  <c r="E37" i="3"/>
  <c r="C37" i="3"/>
  <c r="U36" i="3"/>
  <c r="E36" i="3"/>
  <c r="C36" i="3"/>
  <c r="U35" i="3"/>
  <c r="E35" i="3"/>
  <c r="C35" i="3"/>
  <c r="U34" i="3"/>
  <c r="E34" i="3"/>
  <c r="C34" i="3"/>
  <c r="U33" i="3"/>
  <c r="E33" i="3"/>
  <c r="C33" i="3"/>
  <c r="C40" i="3" s="1"/>
  <c r="U32" i="3"/>
  <c r="I27" i="3"/>
  <c r="G27" i="3"/>
  <c r="E27" i="3"/>
  <c r="C27" i="3"/>
  <c r="I26" i="3"/>
  <c r="G26" i="3"/>
  <c r="E26" i="3"/>
  <c r="C26" i="3"/>
  <c r="I25" i="3"/>
  <c r="G25" i="3"/>
  <c r="E25" i="3"/>
  <c r="C25" i="3"/>
  <c r="I24" i="3"/>
  <c r="I28" i="3" s="1"/>
  <c r="G24" i="3"/>
  <c r="E24" i="3"/>
  <c r="C24" i="3"/>
  <c r="K23" i="3"/>
  <c r="I23" i="3"/>
  <c r="G23" i="3"/>
  <c r="G28" i="3" s="1"/>
  <c r="E23" i="3"/>
  <c r="E28" i="3" s="1"/>
  <c r="C23" i="3"/>
  <c r="C28" i="3" s="1"/>
  <c r="K17" i="3"/>
  <c r="I17" i="3"/>
  <c r="G17" i="3"/>
  <c r="E17" i="3"/>
  <c r="C17" i="3"/>
  <c r="K16" i="3"/>
  <c r="I16" i="3"/>
  <c r="I18" i="3" s="1"/>
  <c r="G16" i="3"/>
  <c r="G18" i="3" s="1"/>
  <c r="E16" i="3"/>
  <c r="E18" i="3" s="1"/>
  <c r="C16" i="3"/>
  <c r="C18" i="3" s="1"/>
  <c r="J11" i="3"/>
  <c r="I11" i="3"/>
  <c r="H11" i="3"/>
  <c r="G11" i="3"/>
  <c r="F11" i="3"/>
  <c r="E11" i="3"/>
  <c r="D11" i="3"/>
  <c r="C11" i="3"/>
  <c r="B11" i="3"/>
  <c r="K10" i="3"/>
  <c r="K9" i="3"/>
  <c r="K8" i="3"/>
  <c r="K7" i="3"/>
  <c r="K6" i="3"/>
  <c r="K5" i="3"/>
  <c r="K4" i="3"/>
  <c r="K11" i="3" s="1"/>
  <c r="D65" i="2"/>
  <c r="C65" i="2"/>
  <c r="D56" i="2"/>
  <c r="C56" i="2"/>
  <c r="D39" i="2"/>
  <c r="C39" i="2"/>
  <c r="D26" i="2"/>
  <c r="C26" i="2"/>
  <c r="D20" i="2"/>
  <c r="C20" i="2"/>
  <c r="D10" i="2"/>
  <c r="C10" i="2"/>
</calcChain>
</file>

<file path=xl/sharedStrings.xml><?xml version="1.0" encoding="utf-8"?>
<sst xmlns="http://schemas.openxmlformats.org/spreadsheetml/2006/main" count="1312" uniqueCount="491">
  <si>
    <t>Province</t>
  </si>
  <si>
    <t>Urban</t>
  </si>
  <si>
    <t>Rural</t>
  </si>
  <si>
    <t xml:space="preserve">Total </t>
  </si>
  <si>
    <t>Urban–Rural</t>
  </si>
  <si>
    <t>Insured (n, %)</t>
  </si>
  <si>
    <t>Not Insured (n, %)</t>
  </si>
  <si>
    <t xml:space="preserve"> Total</t>
  </si>
  <si>
    <t>Column 1</t>
  </si>
  <si>
    <t>Insured = 1+3</t>
  </si>
  <si>
    <t>(NHIP+SSF)</t>
  </si>
  <si>
    <t>Koshi</t>
  </si>
  <si>
    <t>429 (66.6%)</t>
  </si>
  <si>
    <t>215 (33.4%)</t>
  </si>
  <si>
    <t>216 (50.3%)</t>
  </si>
  <si>
    <t>213 (49.7%)</t>
  </si>
  <si>
    <t>Uninsured = 2+4</t>
  </si>
  <si>
    <t>None</t>
  </si>
  <si>
    <t>Madhesh</t>
  </si>
  <si>
    <t>341 (67.7%)</t>
  </si>
  <si>
    <t>163 (32.3%)</t>
  </si>
  <si>
    <t>107 (49.8%)</t>
  </si>
  <si>
    <t>108 (50.2%)</t>
  </si>
  <si>
    <t>Bagmati</t>
  </si>
  <si>
    <t>1,179 (88.1%)</t>
  </si>
  <si>
    <t>160 (11.9%)</t>
  </si>
  <si>
    <t>171 (50.1%)</t>
  </si>
  <si>
    <t>170 (49.9%)</t>
  </si>
  <si>
    <t>Gandaki</t>
  </si>
  <si>
    <t>297 (63.7%)</t>
  </si>
  <si>
    <t>169 (36.3%)</t>
  </si>
  <si>
    <t>81 (49.7%)</t>
  </si>
  <si>
    <t>82 (50.3%)</t>
  </si>
  <si>
    <t>Lumbini</t>
  </si>
  <si>
    <t>346 (62.9%)</t>
  </si>
  <si>
    <t>204 (37.1%)</t>
  </si>
  <si>
    <t>586 (49.7%)</t>
  </si>
  <si>
    <t>593 (50.3%)</t>
  </si>
  <si>
    <t>Karnali</t>
  </si>
  <si>
    <t>202 (55.2%)</t>
  </si>
  <si>
    <t>164 (44.8%)</t>
  </si>
  <si>
    <t>80 (50.0%)</t>
  </si>
  <si>
    <t>Sudurpashchim</t>
  </si>
  <si>
    <t>251 (61.1%)</t>
  </si>
  <si>
    <t>160 (38.9%)</t>
  </si>
  <si>
    <t>147 (49.5%)</t>
  </si>
  <si>
    <t>150 (50.5%)</t>
  </si>
  <si>
    <t>Total</t>
  </si>
  <si>
    <t>3,045 (71.1%)</t>
  </si>
  <si>
    <t>1,235 (28.9%)</t>
  </si>
  <si>
    <t>85 (50.3%)</t>
  </si>
  <si>
    <t>84 (49.7%)</t>
  </si>
  <si>
    <t>175 (50.6%)</t>
  </si>
  <si>
    <t>171 (49.4%)</t>
  </si>
  <si>
    <t>101 (49.5%)</t>
  </si>
  <si>
    <t>103 (50.5%)</t>
  </si>
  <si>
    <t>101 (50.0%)</t>
  </si>
  <si>
    <t>Insured (n)</t>
  </si>
  <si>
    <t>Not Insured (n)</t>
  </si>
  <si>
    <t>Total (n)</t>
  </si>
  <si>
    <t>82 (50.0%)</t>
  </si>
  <si>
    <t>126 (50.2%)</t>
  </si>
  <si>
    <t>125 (49.8%)</t>
  </si>
  <si>
    <t>Grand Total</t>
  </si>
  <si>
    <t>2,138 (50.0%)</t>
  </si>
  <si>
    <t>2,142 (50.0%)</t>
  </si>
  <si>
    <t>Area</t>
  </si>
  <si>
    <t>NHIP Enrolled</t>
  </si>
  <si>
    <t>NHIP Unenrolled</t>
  </si>
  <si>
    <t>SSF Enrolled</t>
  </si>
  <si>
    <t>SSF Unenrolled</t>
  </si>
  <si>
    <t>140 (32.6%)</t>
  </si>
  <si>
    <t>141 (32.9%)</t>
  </si>
  <si>
    <t>76 (17.7%)</t>
  </si>
  <si>
    <t>72 (16.8%)</t>
  </si>
  <si>
    <t>2,138</t>
  </si>
  <si>
    <t>2,142</t>
  </si>
  <si>
    <t>4,280</t>
  </si>
  <si>
    <t>100 (46.5%)</t>
  </si>
  <si>
    <t>7 (3.3%)</t>
  </si>
  <si>
    <t>8 (3.7%)</t>
  </si>
  <si>
    <t>120 (35.2%)</t>
  </si>
  <si>
    <t>51 (15.0%)</t>
  </si>
  <si>
    <t>50 (14.7%)</t>
  </si>
  <si>
    <t>80 (49.1%)</t>
  </si>
  <si>
    <t>1 (0.6%)</t>
  </si>
  <si>
    <t>2 (1.2%)</t>
  </si>
  <si>
    <t>221 (18.7%)</t>
  </si>
  <si>
    <t>365 (31.0%)</t>
  </si>
  <si>
    <t>372 (31.6%)</t>
  </si>
  <si>
    <t>0 (0.0%)</t>
  </si>
  <si>
    <t>100 (33.7%)</t>
  </si>
  <si>
    <t>101 (34.0%)</t>
  </si>
  <si>
    <t>47 (15.8%)</t>
  </si>
  <si>
    <t>49 (16.5%)</t>
  </si>
  <si>
    <t>80 (47.3%)</t>
  </si>
  <si>
    <t>5 (3.0%)</t>
  </si>
  <si>
    <t>4 (2.4%)</t>
  </si>
  <si>
    <t>120 (34.7%)</t>
  </si>
  <si>
    <t>55 (15.9%)</t>
  </si>
  <si>
    <t>51 (14.7%)</t>
  </si>
  <si>
    <t>100 (49.0%)</t>
  </si>
  <si>
    <t>3 (1.5%)</t>
  </si>
  <si>
    <t>80 (39.6%)</t>
  </si>
  <si>
    <t>21 (10.4%)</t>
  </si>
  <si>
    <t>100 (39.8%)</t>
  </si>
  <si>
    <t>26 (10.4%)</t>
  </si>
  <si>
    <t>25 (10.0%)</t>
  </si>
  <si>
    <t>1,484</t>
  </si>
  <si>
    <t>1,485</t>
  </si>
  <si>
    <t>654</t>
  </si>
  <si>
    <t>657</t>
  </si>
  <si>
    <t>Charecteristics of Sample</t>
  </si>
  <si>
    <t>Enrollment Types</t>
  </si>
  <si>
    <t>Code</t>
  </si>
  <si>
    <t>Category</t>
  </si>
  <si>
    <t>n</t>
  </si>
  <si>
    <t>Percent</t>
  </si>
  <si>
    <t>%</t>
  </si>
  <si>
    <t>Total N</t>
  </si>
  <si>
    <t>v208</t>
  </si>
  <si>
    <t>dwelling_owned_by_hh_1</t>
  </si>
  <si>
    <t>dwelling_not_owned_by_hh_2</t>
  </si>
  <si>
    <t>v216</t>
  </si>
  <si>
    <t>piped_water_within_compound_1</t>
  </si>
  <si>
    <t>piped_water_outside_compound_2</t>
  </si>
  <si>
    <t>tubewater_handpump_3</t>
  </si>
  <si>
    <t>HH Head</t>
  </si>
  <si>
    <t>covered_well_kuwa_4</t>
  </si>
  <si>
    <t>uncovered_well_kuwa_5</t>
  </si>
  <si>
    <t>spout_water_6</t>
  </si>
  <si>
    <t>Male</t>
  </si>
  <si>
    <t>river_stream_7</t>
  </si>
  <si>
    <t>Female</t>
  </si>
  <si>
    <t>others_8</t>
  </si>
  <si>
    <t>Missing</t>
  </si>
  <si>
    <t>*Imp for Pivoting</t>
  </si>
  <si>
    <t>jar_9</t>
  </si>
  <si>
    <t>v202</t>
  </si>
  <si>
    <t>Variable Name</t>
  </si>
  <si>
    <t>Mean</t>
  </si>
  <si>
    <t>SD</t>
  </si>
  <si>
    <t>Min</t>
  </si>
  <si>
    <t>Max</t>
  </si>
  <si>
    <t>rooms_use_hh</t>
  </si>
  <si>
    <t>*need to be converted to 1</t>
  </si>
  <si>
    <t xml:space="preserve">Urban </t>
  </si>
  <si>
    <t>v201</t>
  </si>
  <si>
    <t>dwelling_occupied_hh_only</t>
  </si>
  <si>
    <t>Yes_1</t>
  </si>
  <si>
    <t>No_2 (Also Given for Rent)</t>
  </si>
  <si>
    <t>Province Name</t>
  </si>
  <si>
    <t>v203</t>
  </si>
  <si>
    <t>foundation_hh</t>
  </si>
  <si>
    <t>mud_bonded_brick_stone_1</t>
  </si>
  <si>
    <t>cement_bonded_bricks_2</t>
  </si>
  <si>
    <t>concrete_pillars_3</t>
  </si>
  <si>
    <t>wooden_pillar_4</t>
  </si>
  <si>
    <t>other_5</t>
  </si>
  <si>
    <t>v204</t>
  </si>
  <si>
    <t>outer_wall_hh</t>
  </si>
  <si>
    <t>wood_planks_3</t>
  </si>
  <si>
    <t>bamboo_4</t>
  </si>
  <si>
    <t>unbaked_bricks_5</t>
  </si>
  <si>
    <t>galvanized_sheets_6</t>
  </si>
  <si>
    <t>others_7</t>
  </si>
  <si>
    <t>General Insured Family</t>
  </si>
  <si>
    <t>Elderly Family</t>
  </si>
  <si>
    <t>v205</t>
  </si>
  <si>
    <t>FCHV Family</t>
  </si>
  <si>
    <t>roof_hh</t>
  </si>
  <si>
    <t>galvanized_sheets_1</t>
  </si>
  <si>
    <t>HIV/AIDS Affected Family</t>
  </si>
  <si>
    <t>cemenet_concrete_RCC_2</t>
  </si>
  <si>
    <t>Leprosy Affected Family</t>
  </si>
  <si>
    <t>tiles_3</t>
  </si>
  <si>
    <t>Fully disabled family</t>
  </si>
  <si>
    <t>stone_slate_4</t>
  </si>
  <si>
    <t>MDR-TB Infected Family</t>
  </si>
  <si>
    <t>wood_planks_5</t>
  </si>
  <si>
    <t>Ultra Poor Family</t>
  </si>
  <si>
    <t>straw_thatch_0</t>
  </si>
  <si>
    <t>*missing not an issue</t>
  </si>
  <si>
    <t>*Actual Missing</t>
  </si>
  <si>
    <t>v206</t>
  </si>
  <si>
    <t>Palika Types</t>
  </si>
  <si>
    <t>floor_hh</t>
  </si>
  <si>
    <t>earth_mud_1</t>
  </si>
  <si>
    <t>cement_2</t>
  </si>
  <si>
    <t>ceramic_tile_3</t>
  </si>
  <si>
    <t xml:space="preserve">Rural Municipality </t>
  </si>
  <si>
    <t>wood_planks_bamboo_4</t>
  </si>
  <si>
    <t>Municipality</t>
  </si>
  <si>
    <t>parquet_5</t>
  </si>
  <si>
    <t>Sub-Metro Politan City</t>
  </si>
  <si>
    <t xml:space="preserve">Metropolitan City </t>
  </si>
  <si>
    <t>Variable</t>
  </si>
  <si>
    <t>Unit</t>
  </si>
  <si>
    <t>N</t>
  </si>
  <si>
    <t>Mean ± SD</t>
  </si>
  <si>
    <t>v215</t>
  </si>
  <si>
    <t>dewllining_rent_pm</t>
  </si>
  <si>
    <t>Monthly</t>
  </si>
  <si>
    <t>8,028 ± 7,407</t>
  </si>
  <si>
    <t>v217</t>
  </si>
  <si>
    <t>water_expense_py</t>
  </si>
  <si>
    <t>Anuual</t>
  </si>
  <si>
    <t>2,577 ± 4,542</t>
  </si>
  <si>
    <t>Quintile</t>
  </si>
  <si>
    <t>v219a1</t>
  </si>
  <si>
    <t>fuel_firewood_cost</t>
  </si>
  <si>
    <t>12,025 ± 15,175</t>
  </si>
  <si>
    <t>Poorest</t>
  </si>
  <si>
    <t>v219b1</t>
  </si>
  <si>
    <t>fuel_lpg_cost</t>
  </si>
  <si>
    <t>13,581 ± 8,177</t>
  </si>
  <si>
    <t>Poorer</t>
  </si>
  <si>
    <t>v219d1</t>
  </si>
  <si>
    <t>fuel_kerosene_cost</t>
  </si>
  <si>
    <t>4,269 ± 6,136</t>
  </si>
  <si>
    <t>Middle</t>
  </si>
  <si>
    <t>v222a1</t>
  </si>
  <si>
    <t>communication_phone_cost</t>
  </si>
  <si>
    <t>6,986 ± 8,613</t>
  </si>
  <si>
    <t>Richer</t>
  </si>
  <si>
    <t>v222b1</t>
  </si>
  <si>
    <t>communication_cable_TV_cost</t>
  </si>
  <si>
    <t>129,227 ± 3,553,210</t>
  </si>
  <si>
    <t>Richest</t>
  </si>
  <si>
    <t>v222c1</t>
  </si>
  <si>
    <t>communication_internt_cost</t>
  </si>
  <si>
    <t>9,977 ± 8,307</t>
  </si>
  <si>
    <t>v218</t>
  </si>
  <si>
    <t>Column 2</t>
  </si>
  <si>
    <t>cooking_fuel_wood_firewood_1</t>
  </si>
  <si>
    <t>cooking_fuel_lpg_2</t>
  </si>
  <si>
    <t>cooking_fuel_biogas_3</t>
  </si>
  <si>
    <t>Kerosene_4</t>
  </si>
  <si>
    <t>cooking_fuel_dung_cake_5</t>
  </si>
  <si>
    <t>cooking_fuel_electricity_6</t>
  </si>
  <si>
    <t>V222a</t>
  </si>
  <si>
    <t>phone_pays_1</t>
  </si>
  <si>
    <t>phone_donot_pay_2</t>
  </si>
  <si>
    <t>v222b</t>
  </si>
  <si>
    <t>cable_tv_pays</t>
  </si>
  <si>
    <t>cable_tv_donot_pay</t>
  </si>
  <si>
    <t>v222c</t>
  </si>
  <si>
    <t>communication_internet_pays</t>
  </si>
  <si>
    <t>communication_internet_donot_pays</t>
  </si>
  <si>
    <t>v223</t>
  </si>
  <si>
    <t>waste_collectedby_mun_1</t>
  </si>
  <si>
    <t>waste_collectedby_private_sec_2</t>
  </si>
  <si>
    <t>waste_dumped_thrown_3</t>
  </si>
  <si>
    <t>waste_burned_4</t>
  </si>
  <si>
    <t>waste_coposted_5</t>
  </si>
  <si>
    <t>waste_other_6</t>
  </si>
  <si>
    <t>V225</t>
  </si>
  <si>
    <t>toilet_flush_public_sewage_1</t>
  </si>
  <si>
    <t>toilet_flush_septic_tank_2</t>
  </si>
  <si>
    <t>toilet_ordinary_3</t>
  </si>
  <si>
    <t>toilet_public_4</t>
  </si>
  <si>
    <t>no_toilet_5</t>
  </si>
  <si>
    <t>Average HHs Size by:</t>
  </si>
  <si>
    <t>Column 3</t>
  </si>
  <si>
    <t xml:space="preserve">SSF Enrolled </t>
  </si>
  <si>
    <t>Column 7</t>
  </si>
  <si>
    <t>Column 5</t>
  </si>
  <si>
    <t>Column 6</t>
  </si>
  <si>
    <t>Column 4</t>
  </si>
  <si>
    <t>Group</t>
  </si>
  <si>
    <t>HH size (Mean ± SD)</t>
  </si>
  <si>
    <t xml:space="preserve"> n</t>
  </si>
  <si>
    <t xml:space="preserve"> %</t>
  </si>
  <si>
    <t>3.85 ± 1.65</t>
  </si>
  <si>
    <t>4.79 ± 2.46</t>
  </si>
  <si>
    <t>3.72 ± 1.88</t>
  </si>
  <si>
    <t>3.67 ± 1.57</t>
  </si>
  <si>
    <t>4.03 ± 1.51</t>
  </si>
  <si>
    <t>3.78 ± 1.42</t>
  </si>
  <si>
    <t>3.89 ± 1.61</t>
  </si>
  <si>
    <t>Insurance enrollment</t>
  </si>
  <si>
    <t>4.17 ± 1.85</t>
  </si>
  <si>
    <t>1</t>
  </si>
  <si>
    <t>19</t>
  </si>
  <si>
    <t>4.03 ± 1.88</t>
  </si>
  <si>
    <t xml:space="preserve">NHIP Enrolled </t>
  </si>
  <si>
    <t>3.73 ± 1.63</t>
  </si>
  <si>
    <t>Residence</t>
  </si>
  <si>
    <t>3.31 ± 1.64</t>
  </si>
  <si>
    <t>3.90 ± 1.87</t>
  </si>
  <si>
    <t>3.96 ± 1.70</t>
  </si>
  <si>
    <t>Wealth Quintile</t>
  </si>
  <si>
    <t>3.97 ± 1.76</t>
  </si>
  <si>
    <t>14</t>
  </si>
  <si>
    <t>3.75 ± 1.75</t>
  </si>
  <si>
    <t>3.74 ± 1.79</t>
  </si>
  <si>
    <t>3.95 ± 1.80</t>
  </si>
  <si>
    <t>4.19 ± 1.98</t>
  </si>
  <si>
    <t>Overall</t>
  </si>
  <si>
    <t>3.92 ± 1.82</t>
  </si>
  <si>
    <t>Urban (n)</t>
  </si>
  <si>
    <t>Rural (%)</t>
  </si>
  <si>
    <t>Name</t>
  </si>
  <si>
    <t>Urban N</t>
  </si>
  <si>
    <t>Urban  %</t>
  </si>
  <si>
    <t>Rural N</t>
  </si>
  <si>
    <t>Rural %</t>
  </si>
  <si>
    <t>Tottal %</t>
  </si>
  <si>
    <t>Urban (%)</t>
  </si>
  <si>
    <t>Rural (n)</t>
  </si>
  <si>
    <t>Total (%)</t>
  </si>
  <si>
    <t>piped_water_within_compound</t>
  </si>
  <si>
    <t>piped_water_outside_compound</t>
  </si>
  <si>
    <t>tubewater_handpump</t>
  </si>
  <si>
    <t>covered_well_kuwa</t>
  </si>
  <si>
    <t>uncovered_well_kuwa</t>
  </si>
  <si>
    <t>spout_water</t>
  </si>
  <si>
    <t>river_stream</t>
  </si>
  <si>
    <t>others</t>
  </si>
  <si>
    <t>jar</t>
  </si>
  <si>
    <t>Wealth Qunatile Vs. Rural Urban</t>
  </si>
  <si>
    <t>Wealth quintile</t>
  </si>
  <si>
    <t>Total: Core Medical + Transcatory (Transportation, Care, Other cost)</t>
  </si>
  <si>
    <t>Core: Medical Cost</t>
  </si>
  <si>
    <t>Extended: Transcatoy(Transportation, Care, Other Cost)</t>
  </si>
  <si>
    <t>Period: Monthly</t>
  </si>
  <si>
    <t>Enrollment</t>
  </si>
  <si>
    <t>P5</t>
  </si>
  <si>
    <t>P95</t>
  </si>
  <si>
    <t xml:space="preserve">Code </t>
  </si>
  <si>
    <t>*adress outliers</t>
  </si>
  <si>
    <t>Urban/Rural</t>
  </si>
  <si>
    <t>Urab</t>
  </si>
  <si>
    <t>Recall Period 12 Months</t>
  </si>
  <si>
    <t xml:space="preserve">ore </t>
  </si>
  <si>
    <t xml:space="preserve">Chronic Inpatient Expenditure </t>
  </si>
  <si>
    <t xml:space="preserve">N </t>
  </si>
  <si>
    <t xml:space="preserve"> P5</t>
  </si>
  <si>
    <t>Total Mean</t>
  </si>
  <si>
    <t>Total SD</t>
  </si>
  <si>
    <t>Total P5</t>
  </si>
  <si>
    <t>Total P95</t>
  </si>
  <si>
    <t>Urabn</t>
  </si>
  <si>
    <t xml:space="preserve">High </t>
  </si>
  <si>
    <t>some components may be added after clarifications</t>
  </si>
  <si>
    <t>Assuming OOPE for insured HHs are only amount reported in item 237a and 239a, for non insured from total oop cost components from section 6.</t>
  </si>
  <si>
    <t>N_Households</t>
  </si>
  <si>
    <t>Mean_Spending</t>
  </si>
  <si>
    <t>Std_Dev</t>
  </si>
  <si>
    <t>Median</t>
  </si>
  <si>
    <t>P5_Lower</t>
  </si>
  <si>
    <t>P95_Upper</t>
  </si>
  <si>
    <t>Characteristic</t>
  </si>
  <si>
    <t xml:space="preserve">Province </t>
  </si>
  <si>
    <t>P 5</t>
  </si>
  <si>
    <t>code</t>
  </si>
  <si>
    <t xml:space="preserve">
N</t>
  </si>
  <si>
    <t>mean</t>
  </si>
  <si>
    <t>P 95</t>
  </si>
  <si>
    <t>Region</t>
  </si>
  <si>
    <t>SN</t>
  </si>
  <si>
    <t>Citation</t>
  </si>
  <si>
    <t>Title</t>
  </si>
  <si>
    <t>Methods</t>
  </si>
  <si>
    <t>Major Findings</t>
  </si>
  <si>
    <t>Variables Used</t>
  </si>
  <si>
    <t>Control Varibales</t>
  </si>
  <si>
    <t>Sugunan, A., Pillai, R. K., &amp; George, A. (2023)</t>
  </si>
  <si>
    <t>Effectiveness of interventions to contain out-of-pocket-expenditure in lower-middle income countries: A systematic review and income countries synthesis</t>
  </si>
  <si>
    <t>PSM</t>
  </si>
  <si>
    <t>Health insurance alone is insufficient to protect households from OOPE and CHE in LMICs.</t>
  </si>
  <si>
    <r>
      <rPr>
        <b/>
        <sz val="10"/>
        <color rgb="FF000000"/>
        <rFont val="Times New Roman"/>
      </rPr>
      <t>Major Variables:</t>
    </r>
    <r>
      <rPr>
        <sz val="10"/>
        <color rgb="FF000000"/>
        <rFont val="Times New Roman"/>
      </rPr>
      <t xml:space="preserve">Out-of-pocket expenditure (OOPE)
Catastrophic Health Expenditure (CHE)
Impoverishment due to healthcare spending;  </t>
    </r>
    <r>
      <rPr>
        <b/>
        <sz val="10"/>
        <color rgb="FF000000"/>
        <rFont val="Times New Roman"/>
      </rPr>
      <t xml:space="preserve">Independent  Variables
</t>
    </r>
    <r>
      <rPr>
        <sz val="10"/>
        <color rgb="FF000000"/>
        <rFont val="Times New Roman"/>
      </rPr>
      <t>Health insurance schemes (CBHI, social insurance, PFHI, employee insurance)
User fee removal / free care policies
Subsidised or tax-funded healthcare services
Healthcare facility quality improvement
Payment reforms (e.g., capitation)
Patient education programs (e.g., diabetes management)
Disease detection strategies (e.g., active case finding for TB)</t>
    </r>
  </si>
  <si>
    <r>
      <rPr>
        <sz val="10"/>
        <color rgb="FF000000"/>
        <rFont val="Times New Roman"/>
      </rPr>
      <t xml:space="preserve">
</t>
    </r>
    <r>
      <rPr>
        <b/>
        <sz val="10"/>
        <color rgb="FF000000"/>
        <rFont val="Times New Roman"/>
      </rPr>
      <t xml:space="preserve">Control / Covariates </t>
    </r>
    <r>
      <rPr>
        <sz val="10"/>
        <color rgb="FF000000"/>
        <rFont val="Times New Roman"/>
      </rPr>
      <t xml:space="preserve">
Household income or expenditure
Socio-demographic characteristics
Insurance enrollment status
Geographic location (rural/urban)
Healthcare utilization patterns</t>
    </r>
  </si>
  <si>
    <t>*Important to review</t>
  </si>
  <si>
    <t xml:space="preserve">Meta Analaysis </t>
  </si>
  <si>
    <t>Non-insurance and preventive interventions (education, early detection, quality improvement) show stronger and more consistent effects</t>
  </si>
  <si>
    <t>A combined intervention approach is most promising for achieving financial protection and progress toward Universal Health Coverage (UHC)</t>
  </si>
  <si>
    <t xml:space="preserve">Alemayehu, Y.K., Dessie, E., Medhin, G., Birhanu, N., Hotchkiss, D.R., Teklu, A.M., &amp; Kiros, M. (2023). </t>
  </si>
  <si>
    <t>The impact of community-based health insurance on health service utilization and financial risk protection in Ethiopia</t>
  </si>
  <si>
    <t>Study design: Comparative cross-sectional study nested within a national household survey</t>
  </si>
  <si>
    <t>CBHI increased OPD visits by 0.36 visits per capita/year</t>
  </si>
  <si>
    <t>Independent Variable: CBHI membership status (member vs non-member)</t>
  </si>
  <si>
    <t>Covariates (for PSM)</t>
  </si>
  <si>
    <t>Propensity Score Matching (PSM) using logit models to control for selection bias</t>
  </si>
  <si>
    <t>Dependent Variables</t>
  </si>
  <si>
    <t>Age, sex, education, marital status, occupation of household head</t>
  </si>
  <si>
    <t>Nearest-neighbor matching</t>
  </si>
  <si>
    <t>CBHI reduced OOP spending by 28-43%</t>
  </si>
  <si>
    <t>Health service utilization, Outpatient department (OPD) visits per capita per year, Probability of treatment-seeking during illness</t>
  </si>
  <si>
    <t>Household expenditure (socioeconomic status)</t>
  </si>
  <si>
    <t>Estimation of Average Treatment Effect on the Treated (ATT)</t>
  </si>
  <si>
    <t>Outpatient department (OPD) visits per capita per year</t>
  </si>
  <si>
    <t>Household size</t>
  </si>
  <si>
    <t>CBHI members were 32-47% less likely to face catastrophic health expenditure</t>
  </si>
  <si>
    <t>Probability of treatment-seeking during illness</t>
  </si>
  <si>
    <t>Presence of chronic illness</t>
  </si>
  <si>
    <t>Inpatient admissions</t>
  </si>
  <si>
    <t>Self-reported health status, Place of residence (rural/urban)</t>
  </si>
  <si>
    <t>CBHI improved financial protection and service utilization, supporting UHC goals</t>
  </si>
  <si>
    <t>Financial risk protection</t>
  </si>
  <si>
    <t>Out-of-pocket (OOP) health expenditure (direct medical and non-medical costs)</t>
  </si>
  <si>
    <t>Catastrophic health expenditure (CHE): OOP ≥ 10% of total household expenditure</t>
  </si>
  <si>
    <t>Impoverishment due to health spending (poverty headcount, poverty gap)</t>
  </si>
  <si>
    <t>Aziz, N., Liu, T., Yang, S., &amp; Zukiewicz-Sobczak, W. (2022)</t>
  </si>
  <si>
    <t>Causal relationship between health insurance and overall health status of children: Insights from Pakistan.</t>
  </si>
  <si>
    <t>Data: MICS Punjab (2017–2018), n = 38,047 children (&lt;5 years)</t>
  </si>
  <si>
    <t>Health insurance significantly improves child health (ATT positive, p &lt; 0.01)</t>
  </si>
  <si>
    <t>Independent: Child health insurance (insured vs uninsured)
Dependent: Child health status (Height-for-Age Z-score / stunting)</t>
  </si>
  <si>
    <t>Mother characteristics: Education level</t>
  </si>
  <si>
    <t>Design: Observational, cross-sectional</t>
  </si>
  <si>
    <t>Insured children show lower stunting prevalence than uninsured children</t>
  </si>
  <si>
    <t>HH head characteristics: Gender, age, education level</t>
  </si>
  <si>
    <t>Analysis: Logistic regression + Propensity Score Matching (PSM)</t>
  </si>
  <si>
    <t>Health insurance is an effective tool for improving child health in Pakistan</t>
  </si>
  <si>
    <t>Household characteristics: Wealth index, house ownership, internet access, migrant member</t>
  </si>
  <si>
    <t>Estimator: Average Treatment Effect on the Treated (ATT)</t>
  </si>
  <si>
    <t>Child characteristics: Child illness status, number of children (&lt;5 years; 15–17 years)</t>
  </si>
  <si>
    <t>Geographic characteristics: Rural/urban residence, district/region</t>
  </si>
  <si>
    <t>Garg, S., Bebarta, K. K., Tripathi, N., &amp; Keshri, V. R. (2024)</t>
  </si>
  <si>
    <t>Impact of government-funded health insurance on out-of-pocket expenditure and quality of hospital-based care in Indian states of Madhya Pradesh and Maharashtra.</t>
  </si>
  <si>
    <t>Primary household survey (2023)</t>
  </si>
  <si>
    <t>GFHI had no significant effect on inpatient utilisation</t>
  </si>
  <si>
    <r>
      <rPr>
        <b/>
        <sz val="10"/>
        <color rgb="FF000000"/>
        <rFont val="Times New Roman"/>
      </rPr>
      <t xml:space="preserve">Enrolment: </t>
    </r>
    <r>
      <rPr>
        <sz val="10"/>
        <color rgb="FF000000"/>
        <rFont val="Times New Roman"/>
      </rPr>
      <t>Enrolled / Not enrolled</t>
    </r>
  </si>
  <si>
    <t>Quality of care: Patient satisfaction (Yes/No)</t>
  </si>
  <si>
    <t>Sample: 11,569 individuals (Madhya Pradesh), 12,384 individuals (Maharashtra)</t>
  </si>
  <si>
    <r>
      <rPr>
        <b/>
        <sz val="10"/>
        <color rgb="FF000000"/>
        <rFont val="Times New Roman"/>
      </rPr>
      <t>Utilisation (access)</t>
    </r>
    <r>
      <rPr>
        <sz val="10"/>
        <color rgb="FF000000"/>
        <rFont val="Times New Roman"/>
      </rPr>
      <t>: Any inpatient hospitalisation in last 1 year</t>
    </r>
  </si>
  <si>
    <t>Individual characteristics: Sex, age group, education level, social group (caste)</t>
  </si>
  <si>
    <t>Design: Cross-sectional</t>
  </si>
  <si>
    <t>GFHI did not reduce OOPE or catastrophic health expenditure</t>
  </si>
  <si>
    <t>Financial protection:</t>
  </si>
  <si>
    <t>Household characteristics: Household size, per-capita household expenditure quintile</t>
  </si>
  <si>
    <t>Analysis:</t>
  </si>
  <si>
    <t>OOPE and CHE remained very high in private hospitals, regardless of enrolment</t>
  </si>
  <si>
    <t>Out-of-pocket expenditure (OOPE) per hospitalisation</t>
  </si>
  <si>
    <t>Geographic characteristics: Rural/urban residence, state (MP/Maharashtra)</t>
  </si>
  <si>
    <t>Multivariate regression (logistic, OLS)</t>
  </si>
  <si>
    <t>No significant improvement in perceived quality of care</t>
  </si>
  <si>
    <t>Catastrophic health expenditure (CHE-10, CHE-25)</t>
  </si>
  <si>
    <t>Hospitalisation characteristics: Type of hospital (public/private), Disease category, lemngth of stay, Perceived severity of illness</t>
  </si>
  <si>
    <t>Instrumental Variable (IV) models</t>
  </si>
  <si>
    <t>Programme ineffective in improving access, quality, or financial protection</t>
  </si>
  <si>
    <t>Propensity Score Matching (PSM)</t>
  </si>
  <si>
    <t>Outcomes: utilisation, OOPE, CHE-10, CHE-25, patient satisfaction</t>
  </si>
  <si>
    <t>Garg, S., Bebarta, K. K., &amp; Tripathi, N. (2020).</t>
  </si>
  <si>
    <t>Performance of India’s national publicly funded health insurance scheme (PMJAY) in improving access and financial protection in Chhattisgarh</t>
  </si>
  <si>
    <t>Three repeated cross-sections (2004, 2014, 2019)</t>
  </si>
  <si>
    <t>PMJAY did not increase hospital utilisation</t>
  </si>
  <si>
    <t>Insurance status</t>
  </si>
  <si>
    <t>Hospitalisation characteristics:</t>
  </si>
  <si>
    <t>Data: NSS (2004, 2014) + primary household survey (2019)</t>
  </si>
  <si>
    <t>PMJAY did not reduce OOPE or catastrophic health expenditure</t>
  </si>
  <si>
    <t>Utilisation: Any hospitalisation in last 1 year (Yes/No)</t>
  </si>
  <si>
    <t>Type of provider (public/private)</t>
  </si>
  <si>
    <t>Analysis: Multivariate regression, Propensity Score Matching (PSM), Instrumental Variable (IV) models</t>
  </si>
  <si>
    <t>OOPE and CHE remained substantially higher in private hospitals, regardless of enrolment</t>
  </si>
  <si>
    <t>Length of stay</t>
  </si>
  <si>
    <t>Outcomes: hospital utilisation, OOPE, CHE (10%, 25%, 40%)</t>
  </si>
  <si>
    <t>Larger insurance cover alone was insufficient for financial protection</t>
  </si>
  <si>
    <t>Disease category (CD/NCD/injury)</t>
  </si>
  <si>
    <t>Catastrophic health expenditure (CHE10, CHE25, CHE40)</t>
  </si>
  <si>
    <t>Individual characteristics: Age, sex</t>
  </si>
  <si>
    <t>HH head characteristics: Age, sex, marital status</t>
  </si>
  <si>
    <t>Household characteristics: Household size, social group (caste), religion, education level</t>
  </si>
  <si>
    <t>Economic characteristics: Monthly per-capita consumption expenditure (MPCE quintiles)</t>
  </si>
  <si>
    <t>Sriram, S., &amp; Khan, M. M. (2020)</t>
  </si>
  <si>
    <t>Effect of health insurance program for the poor on out-of-pocket inpatient care cost in India: Evidence from a nationally representative cross-sectional survey</t>
  </si>
  <si>
    <t>Data: NSSO Social Consumption–Health Survey (2014)</t>
  </si>
  <si>
    <t>Insurance increased likelihood of hospitalisation</t>
  </si>
  <si>
    <t>Insurance enrolment: Public Health Insurance for the Poor (RSBY / state schemes) – Yes/No</t>
  </si>
  <si>
    <t>Individual characteristics: Age, sex, chronic illness status</t>
  </si>
  <si>
    <t>Hospitalisation: Any inpatient admission in last 365 days – Yes/No</t>
  </si>
  <si>
    <t>HH head / household characteristics: Household size, household type, education level</t>
  </si>
  <si>
    <t>Design: Cross-sectional, nationally representative</t>
  </si>
  <si>
    <t>No significant effect on length of stay</t>
  </si>
  <si>
    <t>Length of stay: Number of inpatient days</t>
  </si>
  <si>
    <t>Socioeconomic characteristics: Poverty status (BPL), social group (caste), religion</t>
  </si>
  <si>
    <t>Out-of-pocket expenditure (OOPE):</t>
  </si>
  <si>
    <t>Healthcare utilisation characteristics:</t>
  </si>
  <si>
    <t>Sample: 64,270 poor (BPL) individuals</t>
  </si>
  <si>
    <t>No reduction in inpatient out-of-pocket expenditure</t>
  </si>
  <si>
    <t>Direct medical costs (doctor fees, medicines, diagnostics, bed charges)</t>
  </si>
  <si>
    <t>Type of hospital (public/private)</t>
  </si>
  <si>
    <t>Direct non-medical costs (transport, food, lodging)</t>
  </si>
  <si>
    <t>Type of ward (free/paying)</t>
  </si>
  <si>
    <t>Methods: Propensity Score Matching (PSM), logistic regression, Tobit and two-part models</t>
  </si>
  <si>
    <t>Private hospitals and paying wards drove higher OOPE</t>
  </si>
  <si>
    <t>Net of insurance reimbursement</t>
  </si>
  <si>
    <t>Nature of treatment (allopathic/AYUSH)</t>
  </si>
  <si>
    <t>Disease category</t>
  </si>
  <si>
    <t>Geographic characteristics: Rural/urban residence, state of residence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</si>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</sst>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4"/>
      <color theme="1"/>
      <name val="Arial"/>
      <scheme val="minor"/>
    </font>
    <font>
      <sz val="10"/>
      <color rgb="FFFFFFFF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Roboto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Times New Roman"/>
    </font>
    <font>
      <sz val="10"/>
      <color rgb="FF000000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351C75"/>
        <bgColor rgb="FF351C75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2" borderId="0" xfId="0" applyFont="1" applyFill="1"/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4" fillId="2" borderId="1" xfId="0" applyFont="1" applyFill="1" applyBorder="1" applyAlignment="1">
      <alignment horizontal="right" vertical="center"/>
    </xf>
    <xf numFmtId="9" fontId="4" fillId="2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9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right"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5" fillId="5" borderId="0" xfId="0" applyFont="1" applyFill="1"/>
    <xf numFmtId="0" fontId="6" fillId="5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0" fontId="3" fillId="7" borderId="1" xfId="0" applyFont="1" applyFill="1" applyBorder="1"/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3" fontId="4" fillId="0" borderId="3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8" borderId="0" xfId="0" applyFont="1" applyFill="1" applyAlignment="1">
      <alignment horizontal="right"/>
    </xf>
    <xf numFmtId="0" fontId="3" fillId="0" borderId="0" xfId="0" applyFont="1" applyAlignment="1">
      <alignment horizontal="right" vertical="center"/>
    </xf>
    <xf numFmtId="0" fontId="1" fillId="9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2" fillId="10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vertical="center"/>
    </xf>
    <xf numFmtId="2" fontId="2" fillId="10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right" vertical="center"/>
    </xf>
    <xf numFmtId="0" fontId="1" fillId="13" borderId="1" xfId="0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2" fillId="12" borderId="3" xfId="0" applyFont="1" applyFill="1" applyBorder="1" applyAlignment="1">
      <alignment horizontal="right" vertical="center"/>
    </xf>
    <xf numFmtId="0" fontId="2" fillId="0" borderId="1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2" fillId="13" borderId="1" xfId="0" applyFont="1" applyFill="1" applyBorder="1"/>
    <xf numFmtId="0" fontId="12" fillId="13" borderId="1" xfId="0" applyFont="1" applyFill="1" applyBorder="1" applyAlignment="1">
      <alignment horizontal="right"/>
    </xf>
    <xf numFmtId="0" fontId="12" fillId="13" borderId="1" xfId="0" applyFont="1" applyFill="1" applyBorder="1"/>
    <xf numFmtId="0" fontId="12" fillId="13" borderId="2" xfId="0" applyFont="1" applyFill="1" applyBorder="1" applyAlignment="1">
      <alignment horizontal="right"/>
    </xf>
    <xf numFmtId="2" fontId="4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13" fillId="0" borderId="1" xfId="0" applyFont="1" applyBorder="1" applyAlignment="1">
      <alignment horizontal="right"/>
    </xf>
    <xf numFmtId="164" fontId="13" fillId="0" borderId="1" xfId="0" applyNumberFormat="1" applyFont="1" applyBorder="1"/>
    <xf numFmtId="3" fontId="13" fillId="0" borderId="1" xfId="0" applyNumberFormat="1" applyFont="1" applyBorder="1"/>
    <xf numFmtId="0" fontId="13" fillId="0" borderId="2" xfId="0" applyFont="1" applyBorder="1" applyAlignment="1">
      <alignment horizontal="right"/>
    </xf>
    <xf numFmtId="0" fontId="13" fillId="0" borderId="0" xfId="0" applyFont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164" fontId="12" fillId="0" borderId="1" xfId="0" applyNumberFormat="1" applyFont="1" applyBorder="1"/>
    <xf numFmtId="3" fontId="12" fillId="0" borderId="1" xfId="0" applyNumberFormat="1" applyFont="1" applyBorder="1"/>
    <xf numFmtId="0" fontId="12" fillId="0" borderId="2" xfId="0" applyFont="1" applyBorder="1" applyAlignment="1">
      <alignment horizontal="right"/>
    </xf>
    <xf numFmtId="2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right"/>
    </xf>
    <xf numFmtId="1" fontId="4" fillId="0" borderId="1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right" vertical="center"/>
    </xf>
    <xf numFmtId="0" fontId="3" fillId="8" borderId="0" xfId="0" applyFont="1" applyFill="1"/>
    <xf numFmtId="0" fontId="1" fillId="7" borderId="0" xfId="0" applyFont="1" applyFill="1"/>
    <xf numFmtId="49" fontId="1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3" fontId="4" fillId="12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3" fontId="4" fillId="12" borderId="0" xfId="0" applyNumberFormat="1" applyFont="1" applyFill="1" applyAlignment="1">
      <alignment horizontal="right" vertical="center"/>
    </xf>
    <xf numFmtId="4" fontId="4" fillId="12" borderId="0" xfId="0" applyNumberFormat="1" applyFont="1" applyFill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12" borderId="0" xfId="0" applyNumberFormat="1" applyFont="1" applyFill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4" fontId="4" fillId="4" borderId="0" xfId="0" applyNumberFormat="1" applyFont="1" applyFill="1" applyAlignment="1">
      <alignment horizontal="right" vertical="center"/>
    </xf>
    <xf numFmtId="4" fontId="4" fillId="6" borderId="0" xfId="0" applyNumberFormat="1" applyFont="1" applyFill="1" applyAlignment="1">
      <alignment vertical="center"/>
    </xf>
    <xf numFmtId="0" fontId="4" fillId="6" borderId="0" xfId="0" applyFont="1" applyFill="1" applyAlignment="1">
      <alignment horizontal="right" vertical="center"/>
    </xf>
    <xf numFmtId="3" fontId="4" fillId="6" borderId="0" xfId="0" applyNumberFormat="1" applyFont="1" applyFill="1" applyAlignment="1">
      <alignment vertical="center"/>
    </xf>
    <xf numFmtId="0" fontId="3" fillId="6" borderId="0" xfId="0" applyFont="1" applyFill="1"/>
    <xf numFmtId="3" fontId="1" fillId="0" borderId="0" xfId="0" applyNumberFormat="1" applyFont="1" applyAlignment="1">
      <alignment horizontal="right" vertical="center"/>
    </xf>
    <xf numFmtId="3" fontId="4" fillId="4" borderId="0" xfId="0" applyNumberFormat="1" applyFont="1" applyFill="1" applyAlignment="1">
      <alignment vertical="center"/>
    </xf>
    <xf numFmtId="0" fontId="4" fillId="14" borderId="0" xfId="0" applyFont="1" applyFill="1" applyAlignment="1">
      <alignment vertical="center"/>
    </xf>
    <xf numFmtId="3" fontId="4" fillId="14" borderId="0" xfId="0" applyNumberFormat="1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14" fillId="8" borderId="4" xfId="0" applyFont="1" applyFill="1" applyBorder="1" applyAlignment="1">
      <alignment horizontal="left" vertical="center" wrapText="1"/>
    </xf>
    <xf numFmtId="0" fontId="15" fillId="8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5" fillId="7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4" fillId="7" borderId="4" xfId="0" applyFont="1" applyFill="1" applyBorder="1" applyAlignment="1">
      <alignment horizontal="left" vertical="center" wrapText="1"/>
    </xf>
    <xf numFmtId="0" fontId="15" fillId="11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14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33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D2D5E3"/>
          <bgColor rgb="FFD2D5E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3">
    <tableStyle name="Working File-style" pivot="0" count="4" xr9:uid="{00000000-0011-0000-FFFF-FFFF00000000}">
      <tableStyleElement type="wholeTable" size="0" dxfId="328"/>
      <tableStyleElement type="headerRow" dxfId="331"/>
      <tableStyleElement type="firstRowStripe" dxfId="330"/>
      <tableStyleElement type="secondRowStripe" dxfId="329"/>
    </tableStyle>
    <tableStyle name="Working File-style 2" pivot="0" count="4" xr9:uid="{00000000-0011-0000-FFFF-FFFF01000000}">
      <tableStyleElement type="wholeTable" size="0" dxfId="324"/>
      <tableStyleElement type="headerRow" dxfId="327"/>
      <tableStyleElement type="firstRowStripe" dxfId="326"/>
      <tableStyleElement type="secondRowStripe" dxfId="325"/>
    </tableStyle>
    <tableStyle name="Working File-style 3" pivot="0" count="5" xr9:uid="{00000000-0011-0000-FFFF-FFFF02000000}">
      <tableStyleElement type="wholeTable" size="0" dxfId="319"/>
      <tableStyleElement type="headerRow" dxfId="323"/>
      <tableStyleElement type="totalRow" dxfId="320"/>
      <tableStyleElement type="firstRowStripe" dxfId="322"/>
      <tableStyleElement type="secondRowStripe" dxfId="321"/>
    </tableStyle>
    <tableStyle name="Working File-style 4" pivot="0" count="5" xr9:uid="{00000000-0011-0000-FFFF-FFFF03000000}">
      <tableStyleElement type="wholeTable" size="0" dxfId="314"/>
      <tableStyleElement type="headerRow" dxfId="318"/>
      <tableStyleElement type="totalRow" dxfId="315"/>
      <tableStyleElement type="firstRowStripe" dxfId="317"/>
      <tableStyleElement type="secondRowStripe" dxfId="316"/>
    </tableStyle>
    <tableStyle name="Sample Charecteristics-style" pivot="0" count="5" xr9:uid="{00000000-0011-0000-FFFF-FFFF04000000}">
      <tableStyleElement type="wholeTable" size="0" dxfId="309"/>
      <tableStyleElement type="headerRow" dxfId="313"/>
      <tableStyleElement type="totalRow" dxfId="310"/>
      <tableStyleElement type="firstRowStripe" dxfId="312"/>
      <tableStyleElement type="secondRowStripe" dxfId="311"/>
    </tableStyle>
    <tableStyle name="Sample Charecteristics-style 2" pivot="0" count="4" xr9:uid="{00000000-0011-0000-FFFF-FFFF05000000}">
      <tableStyleElement type="wholeTable" size="0" dxfId="305"/>
      <tableStyleElement type="headerRow" dxfId="308"/>
      <tableStyleElement type="firstRowStripe" dxfId="307"/>
      <tableStyleElement type="secondRowStripe" dxfId="306"/>
    </tableStyle>
    <tableStyle name="Sample Charecteristics-style 3" pivot="0" count="4" xr9:uid="{00000000-0011-0000-FFFF-FFFF06000000}">
      <tableStyleElement type="wholeTable" size="0" dxfId="301"/>
      <tableStyleElement type="headerRow" dxfId="304"/>
      <tableStyleElement type="firstRowStripe" dxfId="303"/>
      <tableStyleElement type="secondRowStripe" dxfId="302"/>
    </tableStyle>
    <tableStyle name="Sample Charecteristics-style 4" pivot="0" count="5" xr9:uid="{00000000-0011-0000-FFFF-FFFF07000000}">
      <tableStyleElement type="wholeTable" size="0" dxfId="296"/>
      <tableStyleElement type="headerRow" dxfId="300"/>
      <tableStyleElement type="totalRow" dxfId="297"/>
      <tableStyleElement type="firstRowStripe" dxfId="299"/>
      <tableStyleElement type="secondRowStripe" dxfId="298"/>
    </tableStyle>
    <tableStyle name="Sample Charecteristics-style 5" pivot="0" count="4" xr9:uid="{00000000-0011-0000-FFFF-FFFF08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Sample Charecteristics-style 6" pivot="0" count="5" xr9:uid="{00000000-0011-0000-FFFF-FFFF09000000}">
      <tableStyleElement type="wholeTable" size="0" dxfId="287"/>
      <tableStyleElement type="headerRow" dxfId="291"/>
      <tableStyleElement type="totalRow" dxfId="288"/>
      <tableStyleElement type="firstRowStripe" dxfId="290"/>
      <tableStyleElement type="secondRowStripe" dxfId="289"/>
    </tableStyle>
    <tableStyle name="Sample Charecteristics-style 7" pivot="0" count="4" xr9:uid="{00000000-0011-0000-FFFF-FFFF0A000000}">
      <tableStyleElement type="wholeTable" size="0" dxfId="283"/>
      <tableStyleElement type="headerRow" dxfId="286"/>
      <tableStyleElement type="firstRowStripe" dxfId="285"/>
      <tableStyleElement type="secondRowStripe" dxfId="284"/>
    </tableStyle>
    <tableStyle name="Sample Charecteristics-style 8" pivot="0" count="4" xr9:uid="{00000000-0011-0000-FFFF-FFFF0B000000}">
      <tableStyleElement type="wholeTable" size="0" dxfId="279"/>
      <tableStyleElement type="headerRow" dxfId="282"/>
      <tableStyleElement type="firstRowStripe" dxfId="281"/>
      <tableStyleElement type="secondRowStripe" dxfId="280"/>
    </tableStyle>
    <tableStyle name="Sample Charecteristics-style 9" pivot="0" count="4" xr9:uid="{00000000-0011-0000-FFFF-FFFF0C000000}">
      <tableStyleElement type="wholeTable" size="0" dxfId="275"/>
      <tableStyleElement type="headerRow" dxfId="278"/>
      <tableStyleElement type="firstRowStripe" dxfId="277"/>
      <tableStyleElement type="secondRowStripe" dxfId="276"/>
    </tableStyle>
    <tableStyle name="Sample Charecteristics-style 10" pivot="0" count="4" xr9:uid="{00000000-0011-0000-FFFF-FFFF0D000000}">
      <tableStyleElement type="wholeTable" size="0" dxfId="271"/>
      <tableStyleElement type="headerRow" dxfId="274"/>
      <tableStyleElement type="firstRowStripe" dxfId="273"/>
      <tableStyleElement type="secondRowStripe" dxfId="272"/>
    </tableStyle>
    <tableStyle name="Sample Charecteristics-style 11" pivot="0" count="4" xr9:uid="{00000000-0011-0000-FFFF-FFFF0E000000}">
      <tableStyleElement type="wholeTable" size="0" dxfId="267"/>
      <tableStyleElement type="headerRow" dxfId="270"/>
      <tableStyleElement type="firstRowStripe" dxfId="269"/>
      <tableStyleElement type="secondRowStripe" dxfId="268"/>
    </tableStyle>
    <tableStyle name="Sample Charecteristics-style 12" pivot="0" count="4" xr9:uid="{00000000-0011-0000-FFFF-FFFF0F000000}">
      <tableStyleElement type="wholeTable" size="0" dxfId="263"/>
      <tableStyleElement type="headerRow" dxfId="266"/>
      <tableStyleElement type="firstRowStripe" dxfId="265"/>
      <tableStyleElement type="secondRowStripe" dxfId="264"/>
    </tableStyle>
    <tableStyle name="Sample Charecteristics-style 13" pivot="0" count="4" xr9:uid="{00000000-0011-0000-FFFF-FFFF10000000}">
      <tableStyleElement type="wholeTable" size="0" dxfId="259"/>
      <tableStyleElement type="headerRow" dxfId="262"/>
      <tableStyleElement type="firstRowStripe" dxfId="261"/>
      <tableStyleElement type="secondRowStripe" dxfId="260"/>
    </tableStyle>
    <tableStyle name="Sample Charecteristics-style 14" pivot="0" count="4" xr9:uid="{00000000-0011-0000-FFFF-FFFF11000000}">
      <tableStyleElement type="wholeTable" size="0" dxfId="255"/>
      <tableStyleElement type="headerRow" dxfId="258"/>
      <tableStyleElement type="firstRowStripe" dxfId="257"/>
      <tableStyleElement type="secondRowStripe" dxfId="256"/>
    </tableStyle>
    <tableStyle name="Sample Charecteristics-style 15" pivot="0" count="4" xr9:uid="{00000000-0011-0000-FFFF-FFFF12000000}">
      <tableStyleElement type="wholeTable" size="0" dxfId="251"/>
      <tableStyleElement type="headerRow" dxfId="254"/>
      <tableStyleElement type="firstRowStripe" dxfId="253"/>
      <tableStyleElement type="secondRowStripe" dxfId="252"/>
    </tableStyle>
    <tableStyle name="Sample Charecteristics-style 16" pivot="0" count="4" xr9:uid="{00000000-0011-0000-FFFF-FFFF13000000}">
      <tableStyleElement type="wholeTable" size="0" dxfId="247"/>
      <tableStyleElement type="headerRow" dxfId="250"/>
      <tableStyleElement type="firstRowStripe" dxfId="249"/>
      <tableStyleElement type="secondRowStripe" dxfId="248"/>
    </tableStyle>
    <tableStyle name="Sample Charecteristics-style 17" pivot="0" count="4" xr9:uid="{00000000-0011-0000-FFFF-FFFF14000000}">
      <tableStyleElement type="wholeTable" size="0" dxfId="243"/>
      <tableStyleElement type="headerRow" dxfId="246"/>
      <tableStyleElement type="firstRowStripe" dxfId="245"/>
      <tableStyleElement type="secondRowStripe" dxfId="244"/>
    </tableStyle>
    <tableStyle name="Sample Charecteristics-style 18" pivot="0" count="4" xr9:uid="{00000000-0011-0000-FFFF-FFFF15000000}">
      <tableStyleElement type="wholeTable" size="0" dxfId="239"/>
      <tableStyleElement type="headerRow" dxfId="242"/>
      <tableStyleElement type="firstRowStripe" dxfId="241"/>
      <tableStyleElement type="secondRowStripe" dxfId="240"/>
    </tableStyle>
    <tableStyle name="Sample Charecteristics-style 19" pivot="0" count="4" xr9:uid="{00000000-0011-0000-FFFF-FFFF16000000}">
      <tableStyleElement type="wholeTable" size="0" dxfId="235"/>
      <tableStyleElement type="headerRow" dxfId="238"/>
      <tableStyleElement type="firstRowStripe" dxfId="237"/>
      <tableStyleElement type="secondRowStripe" dxfId="236"/>
    </tableStyle>
    <tableStyle name="Sample Charecteristics-style 20" pivot="0" count="4" xr9:uid="{00000000-0011-0000-FFFF-FFFF17000000}">
      <tableStyleElement type="wholeTable" size="0" dxfId="231"/>
      <tableStyleElement type="headerRow" dxfId="234"/>
      <tableStyleElement type="firstRowStripe" dxfId="233"/>
      <tableStyleElement type="secondRowStripe" dxfId="232"/>
    </tableStyle>
    <tableStyle name="Sample Charecteristics-style 21" pivot="0" count="4" xr9:uid="{00000000-0011-0000-FFFF-FFFF18000000}">
      <tableStyleElement type="wholeTable" size="0" dxfId="227"/>
      <tableStyleElement type="headerRow" dxfId="230"/>
      <tableStyleElement type="firstRowStripe" dxfId="229"/>
      <tableStyleElement type="secondRowStripe" dxfId="228"/>
    </tableStyle>
    <tableStyle name="Sample Charecteristics-style 22" pivot="0" count="4" xr9:uid="{00000000-0011-0000-FFFF-FFFF19000000}">
      <tableStyleElement type="wholeTable" size="0" dxfId="223"/>
      <tableStyleElement type="headerRow" dxfId="226"/>
      <tableStyleElement type="firstRowStripe" dxfId="225"/>
      <tableStyleElement type="secondRowStripe" dxfId="224"/>
    </tableStyle>
    <tableStyle name="Crosstabs-style" pivot="0" count="5" xr9:uid="{00000000-0011-0000-FFFF-FFFF1A000000}">
      <tableStyleElement type="wholeTable" size="0" dxfId="218"/>
      <tableStyleElement type="headerRow" dxfId="222"/>
      <tableStyleElement type="totalRow" dxfId="219"/>
      <tableStyleElement type="firstRowStripe" dxfId="221"/>
      <tableStyleElement type="secondRowStripe" dxfId="220"/>
    </tableStyle>
    <tableStyle name="Crosstabs-style 2" pivot="0" count="4" xr9:uid="{00000000-0011-0000-FFFF-FFFF1B000000}">
      <tableStyleElement type="wholeTable" size="0" dxfId="214"/>
      <tableStyleElement type="headerRow" dxfId="217"/>
      <tableStyleElement type="firstRowStripe" dxfId="216"/>
      <tableStyleElement type="secondRowStripe" dxfId="215"/>
    </tableStyle>
    <tableStyle name="Crosstabs-style 3" pivot="0" count="4" xr9:uid="{00000000-0011-0000-FFFF-FFFF1C000000}">
      <tableStyleElement type="wholeTable" size="0" dxfId="210"/>
      <tableStyleElement type="headerRow" dxfId="213"/>
      <tableStyleElement type="firstRowStripe" dxfId="212"/>
      <tableStyleElement type="secondRowStripe" dxfId="211"/>
    </tableStyle>
    <tableStyle name="Crosstabs-style 4" pivot="0" count="4" xr9:uid="{00000000-0011-0000-FFFF-FFFF1D000000}">
      <tableStyleElement type="wholeTable" size="0" dxfId="206"/>
      <tableStyleElement type="headerRow" dxfId="209"/>
      <tableStyleElement type="firstRowStripe" dxfId="208"/>
      <tableStyleElement type="secondRowStripe" dxfId="207"/>
    </tableStyle>
    <tableStyle name="Crosstabs-style 5" pivot="0" count="4" xr9:uid="{00000000-0011-0000-FFFF-FFFF1E000000}">
      <tableStyleElement type="wholeTable" size="0" dxfId="202"/>
      <tableStyleElement type="headerRow" dxfId="205"/>
      <tableStyleElement type="firstRowStripe" dxfId="204"/>
      <tableStyleElement type="secondRowStripe" dxfId="203"/>
    </tableStyle>
    <tableStyle name="Crosstabs-style 6" pivot="0" count="4" xr9:uid="{00000000-0011-0000-FFFF-FFFF1F000000}">
      <tableStyleElement type="wholeTable" size="0" dxfId="198"/>
      <tableStyleElement type="headerRow" dxfId="201"/>
      <tableStyleElement type="firstRowStripe" dxfId="200"/>
      <tableStyleElement type="secondRowStripe" dxfId="199"/>
    </tableStyle>
    <tableStyle name="Crosstabs-style 7" pivot="0" count="4" xr9:uid="{00000000-0011-0000-FFFF-FFFF20000000}">
      <tableStyleElement type="wholeTable" size="0" dxfId="194"/>
      <tableStyleElement type="headerRow" dxfId="197"/>
      <tableStyleElement type="firstRowStripe" dxfId="196"/>
      <tableStyleElement type="secondRowStripe" dxfId="195"/>
    </tableStyle>
    <tableStyle name="Crosstabs-style 8" pivot="0" count="4" xr9:uid="{00000000-0011-0000-FFFF-FFFF21000000}">
      <tableStyleElement type="wholeTable" size="0" dxfId="190"/>
      <tableStyleElement type="headerRow" dxfId="193"/>
      <tableStyleElement type="firstRowStripe" dxfId="192"/>
      <tableStyleElement type="secondRowStripe" dxfId="191"/>
    </tableStyle>
    <tableStyle name="Crosstabs-style 9" pivot="0" count="4" xr9:uid="{00000000-0011-0000-FFFF-FFFF22000000}">
      <tableStyleElement type="wholeTable" size="0" dxfId="186"/>
      <tableStyleElement type="headerRow" dxfId="189"/>
      <tableStyleElement type="firstRowStripe" dxfId="188"/>
      <tableStyleElement type="secondRowStripe" dxfId="187"/>
    </tableStyle>
    <tableStyle name="Crosstabs-style 10" pivot="0" count="2" xr9:uid="{00000000-0011-0000-FFFF-FFFF23000000}">
      <tableStyleElement type="firstRowStripe" dxfId="185"/>
      <tableStyleElement type="secondRowStripe" dxfId="184"/>
    </tableStyle>
    <tableStyle name="Crosstabs-style 11" pivot="0" count="4" xr9:uid="{00000000-0011-0000-FFFF-FFFF24000000}">
      <tableStyleElement type="wholeTable" size="0" dxfId="180"/>
      <tableStyleElement type="headerRow" dxfId="183"/>
      <tableStyleElement type="firstRowStripe" dxfId="182"/>
      <tableStyleElement type="secondRowStripe" dxfId="181"/>
    </tableStyle>
    <tableStyle name="Acute Illness Expenditure-style" pivot="0" count="4" xr9:uid="{00000000-0011-0000-FFFF-FFFF25000000}">
      <tableStyleElement type="wholeTable" size="0" dxfId="176"/>
      <tableStyleElement type="headerRow" dxfId="179"/>
      <tableStyleElement type="firstRowStripe" dxfId="178"/>
      <tableStyleElement type="secondRowStripe" dxfId="177"/>
    </tableStyle>
    <tableStyle name="Acute Illness Expenditure-style 2" pivot="0" count="4" xr9:uid="{00000000-0011-0000-FFFF-FFFF26000000}">
      <tableStyleElement type="wholeTable" size="0" dxfId="172"/>
      <tableStyleElement type="headerRow" dxfId="175"/>
      <tableStyleElement type="firstRowStripe" dxfId="174"/>
      <tableStyleElement type="secondRowStripe" dxfId="173"/>
    </tableStyle>
    <tableStyle name="Acute Illness Expenditure-style 3" pivot="0" count="4" xr9:uid="{00000000-0011-0000-FFFF-FFFF27000000}">
      <tableStyleElement type="wholeTable" size="0" dxfId="168"/>
      <tableStyleElement type="headerRow" dxfId="171"/>
      <tableStyleElement type="firstRowStripe" dxfId="170"/>
      <tableStyleElement type="secondRowStripe" dxfId="169"/>
    </tableStyle>
    <tableStyle name="Acute Illness Expenditure-style 4" pivot="0" count="4" xr9:uid="{00000000-0011-0000-FFFF-FFFF28000000}">
      <tableStyleElement type="wholeTable" size="0" dxfId="164"/>
      <tableStyleElement type="headerRow" dxfId="167"/>
      <tableStyleElement type="firstRowStripe" dxfId="166"/>
      <tableStyleElement type="secondRowStripe" dxfId="165"/>
    </tableStyle>
    <tableStyle name="Acute Illness Expenditure-style 5" pivot="0" count="4" xr9:uid="{00000000-0011-0000-FFFF-FFFF29000000}">
      <tableStyleElement type="wholeTable" size="0" dxfId="160"/>
      <tableStyleElement type="headerRow" dxfId="163"/>
      <tableStyleElement type="firstRowStripe" dxfId="162"/>
      <tableStyleElement type="secondRowStripe" dxfId="161"/>
    </tableStyle>
    <tableStyle name="Acute Illness Expenditure-style 6" pivot="0" count="4" xr9:uid="{00000000-0011-0000-FFFF-FFFF2A000000}">
      <tableStyleElement type="wholeTable" size="0" dxfId="156"/>
      <tableStyleElement type="headerRow" dxfId="159"/>
      <tableStyleElement type="firstRowStripe" dxfId="158"/>
      <tableStyleElement type="secondRowStripe" dxfId="157"/>
    </tableStyle>
    <tableStyle name="Acute Illness Expenditure-style 7" pivot="0" count="4" xr9:uid="{00000000-0011-0000-FFFF-FFFF2B000000}">
      <tableStyleElement type="wholeTable" size="0" dxfId="152"/>
      <tableStyleElement type="headerRow" dxfId="155"/>
      <tableStyleElement type="firstRowStripe" dxfId="154"/>
      <tableStyleElement type="secondRowStripe" dxfId="153"/>
    </tableStyle>
    <tableStyle name="Acute Illness Expenditure-style 8" pivot="0" count="4" xr9:uid="{00000000-0011-0000-FFFF-FFFF2C000000}">
      <tableStyleElement type="wholeTable" size="0" dxfId="148"/>
      <tableStyleElement type="headerRow" dxfId="151"/>
      <tableStyleElement type="firstRowStripe" dxfId="150"/>
      <tableStyleElement type="secondRowStripe" dxfId="149"/>
    </tableStyle>
    <tableStyle name="Acute Illness Expenditure-style 9" pivot="0" count="4" xr9:uid="{00000000-0011-0000-FFFF-FFFF2D000000}">
      <tableStyleElement type="wholeTable" size="0" dxfId="144"/>
      <tableStyleElement type="headerRow" dxfId="147"/>
      <tableStyleElement type="firstRowStripe" dxfId="146"/>
      <tableStyleElement type="secondRowStripe" dxfId="145"/>
    </tableStyle>
    <tableStyle name="Acute Illness Expenditure-style 10" pivot="0" count="4" xr9:uid="{00000000-0011-0000-FFFF-FFFF2E000000}">
      <tableStyleElement type="wholeTable" size="0" dxfId="140"/>
      <tableStyleElement type="headerRow" dxfId="143"/>
      <tableStyleElement type="firstRowStripe" dxfId="142"/>
      <tableStyleElement type="secondRowStripe" dxfId="141"/>
    </tableStyle>
    <tableStyle name="Acute Illness Expenditure-style 11" pivot="0" count="4" xr9:uid="{00000000-0011-0000-FFFF-FFFF2F000000}">
      <tableStyleElement type="wholeTable" size="0" dxfId="136"/>
      <tableStyleElement type="headerRow" dxfId="139"/>
      <tableStyleElement type="firstRowStripe" dxfId="138"/>
      <tableStyleElement type="secondRowStripe" dxfId="137"/>
    </tableStyle>
    <tableStyle name="Acute Illness Expenditure-style 12" pivot="0" count="4" xr9:uid="{00000000-0011-0000-FFFF-FFFF30000000}">
      <tableStyleElement type="wholeTable" size="0" dxfId="132"/>
      <tableStyleElement type="headerRow" dxfId="135"/>
      <tableStyleElement type="firstRowStripe" dxfId="134"/>
      <tableStyleElement type="secondRowStripe" dxfId="133"/>
    </tableStyle>
    <tableStyle name="Chronic Outpatient Expenditure-style" pivot="0" count="4" xr9:uid="{00000000-0011-0000-FFFF-FFFF31000000}">
      <tableStyleElement type="wholeTable" size="0" dxfId="128"/>
      <tableStyleElement type="headerRow" dxfId="131"/>
      <tableStyleElement type="firstRowStripe" dxfId="130"/>
      <tableStyleElement type="secondRowStripe" dxfId="129"/>
    </tableStyle>
    <tableStyle name="Chronic Outpatient Expenditure-style 2" pivot="0" count="4" xr9:uid="{00000000-0011-0000-FFFF-FFFF32000000}">
      <tableStyleElement type="wholeTable" size="0" dxfId="124"/>
      <tableStyleElement type="headerRow" dxfId="127"/>
      <tableStyleElement type="firstRowStripe" dxfId="126"/>
      <tableStyleElement type="secondRowStripe" dxfId="125"/>
    </tableStyle>
    <tableStyle name="Chronic Outpatient Expenditure-style 3" pivot="0" count="4" xr9:uid="{00000000-0011-0000-FFFF-FFFF33000000}">
      <tableStyleElement type="wholeTable" size="0" dxfId="120"/>
      <tableStyleElement type="headerRow" dxfId="123"/>
      <tableStyleElement type="firstRowStripe" dxfId="122"/>
      <tableStyleElement type="secondRowStripe" dxfId="121"/>
    </tableStyle>
    <tableStyle name="Chronic Outpatient Expenditure-style 4" pivot="0" count="4" xr9:uid="{00000000-0011-0000-FFFF-FFFF34000000}">
      <tableStyleElement type="wholeTable" size="0" dxfId="116"/>
      <tableStyleElement type="headerRow" dxfId="119"/>
      <tableStyleElement type="firstRowStripe" dxfId="118"/>
      <tableStyleElement type="secondRowStripe" dxfId="117"/>
    </tableStyle>
    <tableStyle name="Chronic Outpatient Expenditure-style 5" pivot="0" count="4" xr9:uid="{00000000-0011-0000-FFFF-FFFF35000000}">
      <tableStyleElement type="wholeTable" size="0" dxfId="112"/>
      <tableStyleElement type="headerRow" dxfId="115"/>
      <tableStyleElement type="firstRowStripe" dxfId="114"/>
      <tableStyleElement type="secondRowStripe" dxfId="113"/>
    </tableStyle>
    <tableStyle name="Chronic Outpatient Expenditure-style 6" pivot="0" count="4" xr9:uid="{00000000-0011-0000-FFFF-FFFF36000000}">
      <tableStyleElement type="wholeTable" size="0" dxfId="108"/>
      <tableStyleElement type="headerRow" dxfId="111"/>
      <tableStyleElement type="firstRowStripe" dxfId="110"/>
      <tableStyleElement type="secondRowStripe" dxfId="109"/>
    </tableStyle>
    <tableStyle name="Chronic Outpatient Expenditure-style 7" pivot="0" count="4" xr9:uid="{00000000-0011-0000-FFFF-FFFF37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Chronic Outpatient Expenditure-style 8" pivot="0" count="4" xr9:uid="{00000000-0011-0000-FFFF-FFFF38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Chronic Outpatient Expenditure-style 9" pivot="0" count="4" xr9:uid="{00000000-0011-0000-FFFF-FFFF39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Chronic Outpatient Expenditure-style 10" pivot="0" count="4" xr9:uid="{00000000-0011-0000-FFFF-FFFF3A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Chronic Outpatient Expenditure-style 11" pivot="0" count="4" xr9:uid="{00000000-0011-0000-FFFF-FFFF3B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Chronic Outpatient Expenditure-style 12" pivot="0" count="4" xr9:uid="{00000000-0011-0000-FFFF-FFFF3C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Chronic Outpatient Expenditure-style 13" pivot="0" count="4" xr9:uid="{00000000-0011-0000-FFFF-FFFF3D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Chronic Outpatient Expenditure-style 14" pivot="0" count="4" xr9:uid="{00000000-0011-0000-FFFF-FFFF3E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Chronic Outpatient Expenditure-style 15" pivot="0" count="4" xr9:uid="{00000000-0011-0000-FFFF-FFFF3F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Chronic Inpatient Expenditure-style" pivot="0" count="4" xr9:uid="{00000000-0011-0000-FFFF-FFFF40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Chronic Inpatient Expenditure-style 2" pivot="0" count="4" xr9:uid="{00000000-0011-0000-FFFF-FFFF41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Chronic Inpatient Expenditure-style 3" pivot="0" count="4" xr9:uid="{00000000-0011-0000-FFFF-FFFF42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Chronic Inpatient Expenditure-style 4" pivot="0" count="4" xr9:uid="{00000000-0011-0000-FFFF-FFFF43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Chronic Inpatient Expenditure-style 5" pivot="0" count="4" xr9:uid="{00000000-0011-0000-FFFF-FFFF44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Chronic Inpatient Expenditure-style 6" pivot="0" count="4" xr9:uid="{00000000-0011-0000-FFFF-FFFF45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Chronic Inpatient Expenditure-style 7" pivot="0" count="2" xr9:uid="{00000000-0011-0000-FFFF-FFFF46000000}">
      <tableStyleElement type="firstRowStripe" dxfId="47"/>
      <tableStyleElement type="secondRowStripe" dxfId="46"/>
    </tableStyle>
    <tableStyle name="Chronic Inpatient Expenditure-style 8" pivot="0" count="4" xr9:uid="{00000000-0011-0000-FFFF-FFFF47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Chronic Inpatient Expenditure-style 9" pivot="0" count="4" xr9:uid="{00000000-0011-0000-FFFF-FFFF48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Chronic Inpatient Expenditure-style 10" pivot="0" count="4" xr9:uid="{00000000-0011-0000-FFFF-FFFF49000000}">
      <tableStyleElement type="wholeTable" size="0" dxfId="34"/>
      <tableStyleElement type="headerRow" dxfId="37"/>
      <tableStyleElement type="firstRowStripe" dxfId="36"/>
      <tableStyleElement type="secondRowStripe" dxfId="35"/>
    </tableStyle>
    <tableStyle name="Chronic Inpatient Expenditure-style 11" pivot="0" count="4" xr9:uid="{00000000-0011-0000-FFFF-FFFF4A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Chronic Inpatient Expenditure-style 12" pivot="0" count="4" xr9:uid="{00000000-0011-0000-FFFF-FFFF4B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Chronic Inpatient Expenditure-style 13" pivot="0" count="4" xr9:uid="{00000000-0011-0000-FFFF-FFFF4C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Draft OOPE-style" pivot="0" count="4" xr9:uid="{00000000-0011-0000-FFFF-FFFF4D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Draft OOPE-style 2" pivot="0" count="4" xr9:uid="{00000000-0011-0000-FFFF-FFFF4E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Draft OOPE-style 3" pivot="0" count="4" xr9:uid="{00000000-0011-0000-FFFF-FFFF4F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Draft OOPE-style 4" pivot="0" count="4" xr9:uid="{00000000-0011-0000-FFFF-FFFF5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Draft OOPE-style 5" pivot="0" count="2" xr9:uid="{00000000-0011-0000-FFFF-FFFF51000000}">
      <tableStyleElement type="firstRowStripe" dxfId="5"/>
      <tableStyleElement type="secondRowStripe" dxfId="4"/>
    </tableStyle>
    <tableStyle name="Draft OOPE-style 6" pivot="0" count="4" xr9:uid="{00000000-0011-0000-FFFF-FFFF5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295275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143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14325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Hs_by_Province_and_Urban_RUral" displayName="HHs_by_Province_and_Urban_RUral" ref="B2:E10">
  <tableColumns count="4">
    <tableColumn id="1" xr3:uid="{00000000-0010-0000-0000-000001000000}" name="Province"/>
    <tableColumn id="2" xr3:uid="{00000000-0010-0000-0000-000002000000}" name="Urban"/>
    <tableColumn id="3" xr3:uid="{00000000-0010-0000-0000-000003000000}" name="Rural"/>
    <tableColumn id="4" xr3:uid="{00000000-0010-0000-0000-000004000000}" name="Total "/>
  </tableColumns>
  <tableStyleInfo name="Working Fi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y_Province__Uraban_Rural_and_Insurence_Enrollment" displayName="By_Province__Uraban_Rural_and_Insurence_Enrollment" ref="H2:M17">
  <tableColumns count="6">
    <tableColumn id="1" xr3:uid="{00000000-0010-0000-0100-000001000000}" name="Province"/>
    <tableColumn id="2" xr3:uid="{00000000-0010-0000-0100-000002000000}" name="Urban–Rural"/>
    <tableColumn id="3" xr3:uid="{00000000-0010-0000-0100-000003000000}" name="Insured (n, %)"/>
    <tableColumn id="4" xr3:uid="{00000000-0010-0000-0100-000004000000}" name="Not Insured (n, %)"/>
    <tableColumn id="5" xr3:uid="{00000000-0010-0000-0100-000005000000}" name=" Total"/>
    <tableColumn id="6" xr3:uid="{00000000-0010-0000-0100-000006000000}" name="Column 1"/>
  </tableColumns>
  <tableStyleInfo name="Working Fil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14:E22" totalsRowCount="1">
  <tableColumns count="4">
    <tableColumn id="1" xr3:uid="{00000000-0010-0000-0200-000001000000}" name="Province" totalsRowLabel="Total"/>
    <tableColumn id="2" xr3:uid="{00000000-0010-0000-0200-000002000000}" name="Insured (n)" totalsRowLabel="2,138"/>
    <tableColumn id="3" xr3:uid="{00000000-0010-0000-0200-000003000000}" name="Not Insured (n)" totalsRowLabel="2,142"/>
    <tableColumn id="4" xr3:uid="{00000000-0010-0000-0200-000004000000}" name="Total (n)" totalsRowLabel="4,280"/>
  </tableColumns>
  <tableStyleInfo name="Working Fil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y_Province_Urban_Rural_and_Enrollment_Types" displayName="By_Province_Urban_Rural_and_Enrollment_Types" ref="H20:O35" totalsRowCount="1">
  <tableColumns count="8">
    <tableColumn id="1" xr3:uid="{00000000-0010-0000-0300-000001000000}" name="Province" totalsRowLabel="Grand Total"/>
    <tableColumn id="2" xr3:uid="{00000000-0010-0000-0300-000002000000}" name="Area"/>
    <tableColumn id="3" xr3:uid="{00000000-0010-0000-0300-000003000000}" name="NHIP Enrolled" totalsRowLabel="1,484"/>
    <tableColumn id="4" xr3:uid="{00000000-0010-0000-0300-000004000000}" name="NHIP Unenrolled" totalsRowLabel="1,485"/>
    <tableColumn id="5" xr3:uid="{00000000-0010-0000-0300-000005000000}" name="SSF Enrolled" totalsRowLabel="654"/>
    <tableColumn id="6" xr3:uid="{00000000-0010-0000-0300-000006000000}" name="SSF Unenrolled" totalsRowLabel="657"/>
    <tableColumn id="7" xr3:uid="{00000000-0010-0000-0300-000007000000}" name=" Total" totalsRowLabel="4,280"/>
    <tableColumn id="8" xr3:uid="{00000000-0010-0000-0300-000008000000}" name="Total"/>
  </tableColumns>
  <tableStyleInfo name="Working File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y_Enrollment_Types" displayName="By_Enrollment_Types" ref="A5:D10" totalsRowCount="1">
  <tableColumns count="4">
    <tableColumn id="1" xr3:uid="{00000000-0010-0000-0400-000001000000}" name="Code"/>
    <tableColumn id="2" xr3:uid="{00000000-0010-0000-0400-000002000000}" name="Category" totalsRowLabel="Total"/>
    <tableColumn id="3" xr3:uid="{00000000-0010-0000-0400-000003000000}" name="n" totalsRowFunction="custom">
      <totalsRowFormula>SUM(C6:C9)</totalsRowFormula>
    </tableColumn>
    <tableColumn id="4" xr3:uid="{00000000-0010-0000-0400-000004000000}" name="Percent" totalsRowFunction="custom">
      <totalsRowFormula>SUM(D6:D9)</totalsRowFormula>
    </tableColumn>
  </tableColumns>
  <tableStyleInfo name="Sample Charecteristic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welling_Ownership" displayName="Dwelling_Ownership" ref="H5:L7">
  <tableColumns count="5">
    <tableColumn id="1" xr3:uid="{00000000-0010-0000-0500-000001000000}" name="Column 1"/>
    <tableColumn id="2" xr3:uid="{00000000-0010-0000-0500-000002000000}" name="Category"/>
    <tableColumn id="3" xr3:uid="{00000000-0010-0000-0500-000003000000}" name="%"/>
    <tableColumn id="4" xr3:uid="{00000000-0010-0000-0500-000004000000}" name="n"/>
    <tableColumn id="5" xr3:uid="{00000000-0010-0000-0500-000005000000}" name="Total N"/>
  </tableColumns>
  <tableStyleInfo name="Sample Charecteristic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rinking_Water_Sources" displayName="Drinking_Water_Sources" ref="H10:L19">
  <tableColumns count="5">
    <tableColumn id="1" xr3:uid="{00000000-0010-0000-0600-000001000000}" name="v216"/>
    <tableColumn id="2" xr3:uid="{00000000-0010-0000-0600-000002000000}" name="Category"/>
    <tableColumn id="3" xr3:uid="{00000000-0010-0000-0600-000003000000}" name="%"/>
    <tableColumn id="4" xr3:uid="{00000000-0010-0000-0600-000004000000}" name="n"/>
    <tableColumn id="5" xr3:uid="{00000000-0010-0000-0600-000005000000}" name="Total N"/>
  </tableColumns>
  <tableStyleInfo name="Sample Charecteristics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y_Household_Head" displayName="By_Household_Head" ref="A16:E20" totalsRowCount="1">
  <tableColumns count="5">
    <tableColumn id="1" xr3:uid="{00000000-0010-0000-0700-000001000000}" name="Code"/>
    <tableColumn id="2" xr3:uid="{00000000-0010-0000-0700-000002000000}" name="Category" totalsRowLabel="Total"/>
    <tableColumn id="3" xr3:uid="{00000000-0010-0000-0700-000003000000}" name="n" totalsRowFunction="custom">
      <totalsRowFormula>SUM(C17:C19)</totalsRowFormula>
    </tableColumn>
    <tableColumn id="4" xr3:uid="{00000000-0010-0000-0700-000004000000}" name="Percent" totalsRowFunction="custom">
      <totalsRowFormula>SUM(D17:D19)</totalsRowFormula>
    </tableColumn>
    <tableColumn id="5" xr3:uid="{00000000-0010-0000-0700-000005000000}" name="Column 1"/>
  </tableColumns>
  <tableStyleInfo name="Sample Charecteristics-style 4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vererage_number_of__bedrooms" displayName="Avererage_number_of__bedrooms" ref="G22:L23">
  <tableColumns count="6">
    <tableColumn id="1" xr3:uid="{00000000-0010-0000-0800-000001000000}" name="v202"/>
    <tableColumn id="2" xr3:uid="{00000000-0010-0000-0800-000002000000}" name="Variable Name"/>
    <tableColumn id="3" xr3:uid="{00000000-0010-0000-0800-000003000000}" name="Mean"/>
    <tableColumn id="4" xr3:uid="{00000000-0010-0000-0800-000004000000}" name="SD"/>
    <tableColumn id="5" xr3:uid="{00000000-0010-0000-0800-000005000000}" name="Min"/>
    <tableColumn id="6" xr3:uid="{00000000-0010-0000-0800-000006000000}" name="Max"/>
  </tableColumns>
  <tableStyleInfo name="Sample Charecteristics-style 5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y_Urban_Rural_Area" displayName="By_Urban_Rural_Area" ref="A23:D26" totalsRowCount="1">
  <tableColumns count="4">
    <tableColumn id="1" xr3:uid="{00000000-0010-0000-0900-000001000000}" name="Code"/>
    <tableColumn id="2" xr3:uid="{00000000-0010-0000-0900-000002000000}" name="Category" totalsRowLabel="Total"/>
    <tableColumn id="3" xr3:uid="{00000000-0010-0000-0900-000003000000}" name="n" totalsRowFunction="custom">
      <totalsRowFormula>SUM(C24:C25)</totalsRowFormula>
    </tableColumn>
    <tableColumn id="4" xr3:uid="{00000000-0010-0000-0900-000004000000}" name="Percent" totalsRowFunction="custom">
      <totalsRowFormula>SUM(D24:D25)</totalsRowFormula>
    </tableColumn>
  </tableColumns>
  <tableStyleInfo name="Sample Charecteristics-style 6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Occupency_of_Dwelling" displayName="Occupency_of_Dwelling" ref="G26:L28">
  <tableColumns count="6">
    <tableColumn id="1" xr3:uid="{00000000-0010-0000-0A00-000001000000}" name="v201"/>
    <tableColumn id="2" xr3:uid="{00000000-0010-0000-0A00-000002000000}" name="Variable Name"/>
    <tableColumn id="3" xr3:uid="{00000000-0010-0000-0A00-000003000000}" name="Category"/>
    <tableColumn id="4" xr3:uid="{00000000-0010-0000-0A00-000004000000}" name="n"/>
    <tableColumn id="5" xr3:uid="{00000000-0010-0000-0A00-000005000000}" name="%"/>
    <tableColumn id="6" xr3:uid="{00000000-0010-0000-0A00-000006000000}" name="Total N"/>
  </tableColumns>
  <tableStyleInfo name="Sample Charecteristics-style 7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By_Province_" displayName="By_Province_" ref="A31:D39">
  <tableColumns count="4">
    <tableColumn id="1" xr3:uid="{00000000-0010-0000-0B00-000001000000}" name="Code"/>
    <tableColumn id="2" xr3:uid="{00000000-0010-0000-0B00-000002000000}" name="Province Name"/>
    <tableColumn id="3" xr3:uid="{00000000-0010-0000-0B00-000003000000}" name="n"/>
    <tableColumn id="4" xr3:uid="{00000000-0010-0000-0B00-000004000000}" name="Percent"/>
  </tableColumns>
  <tableStyleInfo name="Sample Charecteristics-style 8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House_Foundation_Types" displayName="House_Foundation_Types" ref="G31:L36">
  <tableColumns count="6">
    <tableColumn id="1" xr3:uid="{00000000-0010-0000-0C00-000001000000}" name="v203"/>
    <tableColumn id="2" xr3:uid="{00000000-0010-0000-0C00-000002000000}" name="Variable Name"/>
    <tableColumn id="3" xr3:uid="{00000000-0010-0000-0C00-000003000000}" name="Category"/>
    <tableColumn id="4" xr3:uid="{00000000-0010-0000-0C00-000004000000}" name="n"/>
    <tableColumn id="5" xr3:uid="{00000000-0010-0000-0C00-000005000000}" name="%"/>
    <tableColumn id="6" xr3:uid="{00000000-0010-0000-0C00-000006000000}" name="Total N"/>
  </tableColumns>
  <tableStyleInfo name="Sample Charecteristics-style 9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House_Outer_Wall_Types" displayName="House_Outer_Wall_Types" ref="G39:L46">
  <tableColumns count="6">
    <tableColumn id="1" xr3:uid="{00000000-0010-0000-0D00-000001000000}" name="v204"/>
    <tableColumn id="2" xr3:uid="{00000000-0010-0000-0D00-000002000000}" name="Variable Name"/>
    <tableColumn id="3" xr3:uid="{00000000-0010-0000-0D00-000003000000}" name="Category"/>
    <tableColumn id="4" xr3:uid="{00000000-0010-0000-0D00-000004000000}" name="n"/>
    <tableColumn id="5" xr3:uid="{00000000-0010-0000-0D00-000005000000}" name="%"/>
    <tableColumn id="6" xr3:uid="{00000000-0010-0000-0D00-000006000000}" name="Total N"/>
  </tableColumns>
  <tableStyleInfo name="Sample Charecteristics-style 10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By_NHIP_Targeted_Family_Types" displayName="By_NHIP_Targeted_Family_Types" ref="A46:D56">
  <tableColumns count="4">
    <tableColumn id="1" xr3:uid="{00000000-0010-0000-0E00-000001000000}" name="Code"/>
    <tableColumn id="2" xr3:uid="{00000000-0010-0000-0E00-000002000000}" name="Category"/>
    <tableColumn id="3" xr3:uid="{00000000-0010-0000-0E00-000003000000}" name="n"/>
    <tableColumn id="4" xr3:uid="{00000000-0010-0000-0E00-000004000000}" name="Percent"/>
  </tableColumns>
  <tableStyleInfo name="Sample Charecteristics-style 11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House_Roof_Types" displayName="House_Roof_Types" ref="G48:L55">
  <tableColumns count="6">
    <tableColumn id="1" xr3:uid="{00000000-0010-0000-0F00-000001000000}" name="v205"/>
    <tableColumn id="2" xr3:uid="{00000000-0010-0000-0F00-000002000000}" name="Variable Name"/>
    <tableColumn id="3" xr3:uid="{00000000-0010-0000-0F00-000003000000}" name="Category"/>
    <tableColumn id="4" xr3:uid="{00000000-0010-0000-0F00-000004000000}" name="n"/>
    <tableColumn id="5" xr3:uid="{00000000-0010-0000-0F00-000005000000}" name="%"/>
    <tableColumn id="6" xr3:uid="{00000000-0010-0000-0F00-000006000000}" name="Total N"/>
  </tableColumns>
  <tableStyleInfo name="Sample Charecteristics-style 1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House_Flooring_Types" displayName="House_Flooring_Types" ref="G57:L63">
  <tableColumns count="6">
    <tableColumn id="1" xr3:uid="{00000000-0010-0000-1000-000001000000}" name="v206"/>
    <tableColumn id="2" xr3:uid="{00000000-0010-0000-1000-000002000000}" name="Variable Name"/>
    <tableColumn id="3" xr3:uid="{00000000-0010-0000-1000-000003000000}" name="Category"/>
    <tableColumn id="4" xr3:uid="{00000000-0010-0000-1000-000004000000}" name="n"/>
    <tableColumn id="5" xr3:uid="{00000000-0010-0000-1000-000005000000}" name="%"/>
    <tableColumn id="6" xr3:uid="{00000000-0010-0000-1000-000006000000}" name="Total N"/>
  </tableColumns>
  <tableStyleInfo name="Sample Charecteristics-style 13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By_Palika_Types" displayName="By_Palika_Types" ref="A60:D65">
  <tableColumns count="4">
    <tableColumn id="1" xr3:uid="{00000000-0010-0000-1100-000001000000}" name="Code"/>
    <tableColumn id="2" xr3:uid="{00000000-0010-0000-1100-000002000000}" name="Category"/>
    <tableColumn id="3" xr3:uid="{00000000-0010-0000-1100-000003000000}" name="n"/>
    <tableColumn id="4" xr3:uid="{00000000-0010-0000-1100-000004000000}" name="Percent"/>
  </tableColumns>
  <tableStyleInfo name="Sample Charecteristics-style 14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Average_Cost_for_Housing_Components_national" displayName="Average_Cost_for_Housing_Components_national" ref="G65:M73">
  <tableColumns count="7">
    <tableColumn id="1" xr3:uid="{00000000-0010-0000-1200-000001000000}" name="Variable"/>
    <tableColumn id="2" xr3:uid="{00000000-0010-0000-1200-000002000000}" name="Column 1"/>
    <tableColumn id="3" xr3:uid="{00000000-0010-0000-1200-000003000000}" name="Unit"/>
    <tableColumn id="4" xr3:uid="{00000000-0010-0000-1200-000004000000}" name="N"/>
    <tableColumn id="5" xr3:uid="{00000000-0010-0000-1200-000005000000}" name="Mean ± SD"/>
    <tableColumn id="6" xr3:uid="{00000000-0010-0000-1200-000006000000}" name="Min"/>
    <tableColumn id="7" xr3:uid="{00000000-0010-0000-1200-000007000000}" name="Max"/>
  </tableColumns>
  <tableStyleInfo name="Sample Charecteristics-style 15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By_Wealth_Quantile" displayName="By_Wealth_Quantile" ref="A68:C73">
  <tableColumns count="3">
    <tableColumn id="1" xr3:uid="{00000000-0010-0000-1300-000001000000}" name="Quintile"/>
    <tableColumn id="2" xr3:uid="{00000000-0010-0000-1300-000002000000}" name="n"/>
    <tableColumn id="3" xr3:uid="{00000000-0010-0000-1300-000003000000}" name="Percent"/>
  </tableColumns>
  <tableStyleInfo name="Sample Charecteristics-style 16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ooking_Fuel_Types" displayName="Cooking_Fuel_Types" ref="G76:K82">
  <tableColumns count="5">
    <tableColumn id="1" xr3:uid="{00000000-0010-0000-1400-000001000000}" name="v218"/>
    <tableColumn id="2" xr3:uid="{00000000-0010-0000-1400-000002000000}" name="Column 1"/>
    <tableColumn id="3" xr3:uid="{00000000-0010-0000-1400-000003000000}" name="%"/>
    <tableColumn id="4" xr3:uid="{00000000-0010-0000-1400-000004000000}" name="n"/>
    <tableColumn id="5" xr3:uid="{00000000-0010-0000-1400-000005000000}" name="Column 2"/>
  </tableColumns>
  <tableStyleInfo name="Sample Charecteristics-style 17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7" displayName="Table7" ref="G85:K87">
  <tableColumns count="5">
    <tableColumn id="1" xr3:uid="{00000000-0010-0000-1500-000001000000}" name="V222a"/>
    <tableColumn id="2" xr3:uid="{00000000-0010-0000-1500-000002000000}" name="Category"/>
    <tableColumn id="3" xr3:uid="{00000000-0010-0000-1500-000003000000}" name="%"/>
    <tableColumn id="4" xr3:uid="{00000000-0010-0000-1500-000004000000}" name="n"/>
    <tableColumn id="5" xr3:uid="{00000000-0010-0000-1500-000005000000}" name="N2"/>
  </tableColumns>
  <tableStyleInfo name="Sample Charecteristics-style 18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8" displayName="Table8" ref="G89:K91">
  <tableColumns count="5">
    <tableColumn id="1" xr3:uid="{00000000-0010-0000-1600-000001000000}" name="v222b"/>
    <tableColumn id="2" xr3:uid="{00000000-0010-0000-1600-000002000000}" name="Category"/>
    <tableColumn id="3" xr3:uid="{00000000-0010-0000-1600-000003000000}" name="%"/>
    <tableColumn id="4" xr3:uid="{00000000-0010-0000-1600-000004000000}" name="n"/>
    <tableColumn id="5" xr3:uid="{00000000-0010-0000-1600-000005000000}" name="N2"/>
  </tableColumns>
  <tableStyleInfo name="Sample Charecteristics-style 19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9" displayName="Table9" ref="G93:K95">
  <tableColumns count="5">
    <tableColumn id="1" xr3:uid="{00000000-0010-0000-1700-000001000000}" name="Column 1"/>
    <tableColumn id="2" xr3:uid="{00000000-0010-0000-1700-000002000000}" name="Category"/>
    <tableColumn id="3" xr3:uid="{00000000-0010-0000-1700-000003000000}" name="%"/>
    <tableColumn id="4" xr3:uid="{00000000-0010-0000-1700-000004000000}" name="n"/>
    <tableColumn id="5" xr3:uid="{00000000-0010-0000-1700-000005000000}" name="N2"/>
  </tableColumns>
  <tableStyleInfo name="Sample Charecteristics-style 20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10" displayName="Table10" ref="G98:K104">
  <tableColumns count="5">
    <tableColumn id="1" xr3:uid="{00000000-0010-0000-1800-000001000000}" name="v223"/>
    <tableColumn id="2" xr3:uid="{00000000-0010-0000-1800-000002000000}" name="Category"/>
    <tableColumn id="3" xr3:uid="{00000000-0010-0000-1800-000003000000}" name="%"/>
    <tableColumn id="4" xr3:uid="{00000000-0010-0000-1800-000004000000}" name="n"/>
    <tableColumn id="5" xr3:uid="{00000000-0010-0000-1800-000005000000}" name="N2"/>
  </tableColumns>
  <tableStyleInfo name="Sample Charecteristics-style 21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11" displayName="Table11" ref="G106:K111">
  <tableColumns count="5">
    <tableColumn id="1" xr3:uid="{00000000-0010-0000-1900-000001000000}" name="V225"/>
    <tableColumn id="2" xr3:uid="{00000000-0010-0000-1900-000002000000}" name="Category"/>
    <tableColumn id="3" xr3:uid="{00000000-0010-0000-1900-000003000000}" name="%"/>
    <tableColumn id="4" xr3:uid="{00000000-0010-0000-1900-000004000000}" name="n"/>
    <tableColumn id="5" xr3:uid="{00000000-0010-0000-1900-000005000000}" name="N2"/>
  </tableColumns>
  <tableStyleInfo name="Sample Charecteristics-style 2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Insurence_Enrollment_by_Province" displayName="Insurence_Enrollment_by_Province" ref="A2:K11" totalsRowCount="1">
  <tableColumns count="11">
    <tableColumn id="1" xr3:uid="{00000000-0010-0000-1A00-000001000000}" name="Column 1" totalsRowLabel="Total"/>
    <tableColumn id="2" xr3:uid="{00000000-0010-0000-1A00-000002000000}" name="NHIP Enrolled" totalsRowFunction="custom">
      <totalsRowFormula>SUM(B4:B10)</totalsRowFormula>
    </tableColumn>
    <tableColumn id="3" xr3:uid="{00000000-0010-0000-1A00-000003000000}" name="Column 2" totalsRowFunction="custom">
      <totalsRowFormula>SUM(C4:C10)</totalsRowFormula>
    </tableColumn>
    <tableColumn id="4" xr3:uid="{00000000-0010-0000-1A00-000004000000}" name="NHIP Unenrolled" totalsRowFunction="custom">
      <totalsRowFormula>SUM(D4:D10)</totalsRowFormula>
    </tableColumn>
    <tableColumn id="5" xr3:uid="{00000000-0010-0000-1A00-000005000000}" name="Column 3" totalsRowFunction="custom">
      <totalsRowFormula>SUM(E4:E10)</totalsRowFormula>
    </tableColumn>
    <tableColumn id="6" xr3:uid="{00000000-0010-0000-1A00-000006000000}" name="SSF Enrolled " totalsRowFunction="custom">
      <totalsRowFormula>SUM(F4:F10)</totalsRowFormula>
    </tableColumn>
    <tableColumn id="7" xr3:uid="{00000000-0010-0000-1A00-000007000000}" name="Column 7" totalsRowFunction="custom">
      <totalsRowFormula>SUM(G4:G10)</totalsRowFormula>
    </tableColumn>
    <tableColumn id="8" xr3:uid="{00000000-0010-0000-1A00-000008000000}" name="SSF Unenrolled" totalsRowFunction="custom">
      <totalsRowFormula>SUM(H4:H10)</totalsRowFormula>
    </tableColumn>
    <tableColumn id="9" xr3:uid="{00000000-0010-0000-1A00-000009000000}" name="Column 5" totalsRowFunction="custom">
      <totalsRowFormula>SUM(I4:I10)</totalsRowFormula>
    </tableColumn>
    <tableColumn id="10" xr3:uid="{00000000-0010-0000-1A00-00000A000000}" name="Column 6" totalsRowFunction="custom">
      <totalsRowFormula>SUM(J4:J10)</totalsRowFormula>
    </tableColumn>
    <tableColumn id="11" xr3:uid="{00000000-0010-0000-1A00-00000B000000}" name="Column 4" totalsRowFunction="custom">
      <totalsRowFormula>SUM(K4:K10)</totalsRowFormula>
    </tableColumn>
  </tableColumns>
  <tableStyleInfo name="Crosstabs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Average_HHs_Size_by_Province" displayName="Average_HHs_Size_by_Province" ref="N2:R9">
  <tableColumns count="5">
    <tableColumn id="1" xr3:uid="{00000000-0010-0000-1B00-000001000000}" name="Group"/>
    <tableColumn id="2" xr3:uid="{00000000-0010-0000-1B00-000002000000}" name="Category"/>
    <tableColumn id="3" xr3:uid="{00000000-0010-0000-1B00-000003000000}" name="HH size (Mean ± SD)"/>
    <tableColumn id="4" xr3:uid="{00000000-0010-0000-1B00-000004000000}" name="Min"/>
    <tableColumn id="5" xr3:uid="{00000000-0010-0000-1B00-000005000000}" name="Max"/>
  </tableColumns>
  <tableStyleInfo name="Crosstabs-style 2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Average_HH_Size_by_Insurence_Enrollment" displayName="Average_HH_Size_by_Insurence_Enrollment" ref="N12:R15">
  <tableColumns count="5">
    <tableColumn id="1" xr3:uid="{00000000-0010-0000-1C00-000001000000}" name="Insurance enrollment"/>
    <tableColumn id="2" xr3:uid="{00000000-0010-0000-1C00-000002000000}" name="NHIP Enrolled"/>
    <tableColumn id="3" xr3:uid="{00000000-0010-0000-1C00-000003000000}" name="4.17 ± 1.85"/>
    <tableColumn id="4" xr3:uid="{00000000-0010-0000-1C00-000004000000}" name="1"/>
    <tableColumn id="5" xr3:uid="{00000000-0010-0000-1C00-000005000000}" name="19"/>
  </tableColumns>
  <tableStyleInfo name="Crosstabs-style 3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Insurence_Enrollment_by_Urab_Rural_Area" displayName="Insurence_Enrollment_by_Urab_Rural_Area" ref="A14:K18">
  <tableColumns count="11">
    <tableColumn id="1" xr3:uid="{00000000-0010-0000-1D00-000001000000}" name="Column 1"/>
    <tableColumn id="2" xr3:uid="{00000000-0010-0000-1D00-000002000000}" name="NHIP Enrolled "/>
    <tableColumn id="3" xr3:uid="{00000000-0010-0000-1D00-000003000000}" name="Column 2"/>
    <tableColumn id="4" xr3:uid="{00000000-0010-0000-1D00-000004000000}" name="NHIP Unenrolled"/>
    <tableColumn id="5" xr3:uid="{00000000-0010-0000-1D00-000005000000}" name="Column 3"/>
    <tableColumn id="6" xr3:uid="{00000000-0010-0000-1D00-000006000000}" name="SSF Enrolled "/>
    <tableColumn id="7" xr3:uid="{00000000-0010-0000-1D00-000007000000}" name="Column 4"/>
    <tableColumn id="8" xr3:uid="{00000000-0010-0000-1D00-000008000000}" name="SSF Unenrolled"/>
    <tableColumn id="9" xr3:uid="{00000000-0010-0000-1D00-000009000000}" name="Column 5"/>
    <tableColumn id="10" xr3:uid="{00000000-0010-0000-1D00-00000A000000}" name="Column 6"/>
    <tableColumn id="11" xr3:uid="{00000000-0010-0000-1D00-00000B000000}" name="Column 7"/>
  </tableColumns>
  <tableStyleInfo name="Crosstabs-style 4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Average_HH_Size_by_Urban_Rural_types" displayName="Average_HH_Size_by_Urban_Rural_types" ref="N17:R19">
  <tableColumns count="5">
    <tableColumn id="1" xr3:uid="{00000000-0010-0000-1E00-000001000000}" name="Column 1"/>
    <tableColumn id="2" xr3:uid="{00000000-0010-0000-1E00-000002000000}" name="Column 2"/>
    <tableColumn id="3" xr3:uid="{00000000-0010-0000-1E00-000003000000}" name="Column 3"/>
    <tableColumn id="4" xr3:uid="{00000000-0010-0000-1E00-000004000000}" name="Column 4"/>
    <tableColumn id="5" xr3:uid="{00000000-0010-0000-1E00-000005000000}" name="Column 5"/>
  </tableColumns>
  <tableStyleInfo name="Crosstabs-style 5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Insurence_Enrollment_by_Wealth_Quantile" displayName="Insurence_Enrollment_by_Wealth_Quantile" ref="A21:K28">
  <tableColumns count="11">
    <tableColumn id="1" xr3:uid="{00000000-0010-0000-1F00-000001000000}" name="Column 1"/>
    <tableColumn id="2" xr3:uid="{00000000-0010-0000-1F00-000002000000}" name="NHIP Enrolled "/>
    <tableColumn id="3" xr3:uid="{00000000-0010-0000-1F00-000003000000}" name="Column 2"/>
    <tableColumn id="4" xr3:uid="{00000000-0010-0000-1F00-000004000000}" name="NHIP Unenrolled"/>
    <tableColumn id="5" xr3:uid="{00000000-0010-0000-1F00-000005000000}" name="Column 3"/>
    <tableColumn id="6" xr3:uid="{00000000-0010-0000-1F00-000006000000}" name="SSF Enrolled "/>
    <tableColumn id="7" xr3:uid="{00000000-0010-0000-1F00-000007000000}" name="Column 4"/>
    <tableColumn id="8" xr3:uid="{00000000-0010-0000-1F00-000008000000}" name="SSF Unenrolled"/>
    <tableColumn id="9" xr3:uid="{00000000-0010-0000-1F00-000009000000}" name="Column 5"/>
    <tableColumn id="10" xr3:uid="{00000000-0010-0000-1F00-00000A000000}" name="Column 6"/>
    <tableColumn id="11" xr3:uid="{00000000-0010-0000-1F00-00000B000000}" name="Column 7"/>
  </tableColumns>
  <tableStyleInfo name="Crosstabs-style 6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verage_HH_Size_by_Wealth_Quantile" displayName="Average_HH_Size_by_Wealth_Quantile" ref="N23:R28">
  <tableColumns count="5">
    <tableColumn id="1" xr3:uid="{00000000-0010-0000-2000-000001000000}" name="Wealth Quintile"/>
    <tableColumn id="2" xr3:uid="{00000000-0010-0000-2000-000002000000}" name="Poorest"/>
    <tableColumn id="3" xr3:uid="{00000000-0010-0000-2000-000003000000}" name="3.97 ± 1.76"/>
    <tableColumn id="4" xr3:uid="{00000000-0010-0000-2000-000004000000}" name="1"/>
    <tableColumn id="5" xr3:uid="{00000000-0010-0000-2000-000005000000}" name="14"/>
  </tableColumns>
  <tableStyleInfo name="Crosstabs-style 7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Uraban_Rural_HHs_by_Province" displayName="Uraban_Rural_HHs_by_Province" ref="B31:G40">
  <tableColumns count="6">
    <tableColumn id="1" xr3:uid="{00000000-0010-0000-2100-000001000000}" name="Urban (n)"/>
    <tableColumn id="2" xr3:uid="{00000000-0010-0000-2100-000002000000}" name="Column 1"/>
    <tableColumn id="3" xr3:uid="{00000000-0010-0000-2100-000003000000}" name="Rural (%)"/>
    <tableColumn id="4" xr3:uid="{00000000-0010-0000-2100-000004000000}" name="Column 2"/>
    <tableColumn id="5" xr3:uid="{00000000-0010-0000-2100-000005000000}" name="Column 3"/>
    <tableColumn id="6" xr3:uid="{00000000-0010-0000-2100-000006000000}" name="Column 4"/>
  </tableColumns>
  <tableStyleInfo name="Crosstabs-style 8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Drinking_Water_Sources_by_Uraban_Rural_Region" displayName="Drinking_Water_Sources_by_Uraban_Rural_Region" ref="N31:U41">
  <tableColumns count="8">
    <tableColumn id="1" xr3:uid="{00000000-0010-0000-2200-000001000000}" name="Category"/>
    <tableColumn id="2" xr3:uid="{00000000-0010-0000-2200-000002000000}" name="Name"/>
    <tableColumn id="3" xr3:uid="{00000000-0010-0000-2200-000003000000}" name="Urban N"/>
    <tableColumn id="4" xr3:uid="{00000000-0010-0000-2200-000004000000}" name="Urban  %"/>
    <tableColumn id="5" xr3:uid="{00000000-0010-0000-2200-000005000000}" name="Rural N"/>
    <tableColumn id="6" xr3:uid="{00000000-0010-0000-2200-000006000000}" name="Rural %"/>
    <tableColumn id="7" xr3:uid="{00000000-0010-0000-2200-000007000000}" name="Total N"/>
    <tableColumn id="8" xr3:uid="{00000000-0010-0000-2200-000008000000}" name="Tottal %"/>
  </tableColumns>
  <tableStyleInfo name="Crosstabs-style 9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1" displayName="Table_1" ref="A33:A39" headerRowCount="0">
  <tableColumns count="1">
    <tableColumn id="1" xr3:uid="{00000000-0010-0000-2300-000001000000}" name="Column1"/>
  </tableColumns>
  <tableStyleInfo name="Crosstabs-style 10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Urban_Rural_HHs_by_Wealth_Quantile" displayName="Urban_Rural_HHs_by_Wealth_Quantile" ref="A44:F51">
  <tableColumns count="6">
    <tableColumn id="1" xr3:uid="{00000000-0010-0000-2400-000001000000}" name="Column 1"/>
    <tableColumn id="2" xr3:uid="{00000000-0010-0000-2400-000002000000}" name="Urban (n)"/>
    <tableColumn id="3" xr3:uid="{00000000-0010-0000-2400-000003000000}" name="Column 2"/>
    <tableColumn id="4" xr3:uid="{00000000-0010-0000-2400-000004000000}" name="Rural (n)"/>
    <tableColumn id="5" xr3:uid="{00000000-0010-0000-2400-000005000000}" name="Column 3"/>
    <tableColumn id="6" xr3:uid="{00000000-0010-0000-2400-000006000000}" name="Column 4"/>
  </tableColumns>
  <tableStyleInfo name="Crosstabs-style 11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cute_Total_Expenditure_by_Enrollment_Types" displayName="Acute_Total_Expenditure_by_Enrollment_Types" ref="B3:I7">
  <tableColumns count="8">
    <tableColumn id="1" xr3:uid="{00000000-0010-0000-2500-000001000000}" name="Code"/>
    <tableColumn id="2" xr3:uid="{00000000-0010-0000-2500-000002000000}" name="Enrollment"/>
    <tableColumn id="3" xr3:uid="{00000000-0010-0000-2500-000003000000}" name="n"/>
    <tableColumn id="4" xr3:uid="{00000000-0010-0000-2500-000004000000}" name="Mean"/>
    <tableColumn id="5" xr3:uid="{00000000-0010-0000-2500-000005000000}" name="SD"/>
    <tableColumn id="6" xr3:uid="{00000000-0010-0000-2500-000006000000}" name="P5"/>
    <tableColumn id="7" xr3:uid="{00000000-0010-0000-2500-000007000000}" name="P95"/>
    <tableColumn id="8" xr3:uid="{00000000-0010-0000-2500-000008000000}" name="Column 1"/>
  </tableColumns>
  <tableStyleInfo name="Acute Illness Expenditu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cute_Core_Expenditure_by_Enrollment_Types" displayName="Acute_Core_Expenditure_by_Enrollment_Types" ref="K3:Q7">
  <tableColumns count="7">
    <tableColumn id="1" xr3:uid="{00000000-0010-0000-2600-000001000000}" name="Code"/>
    <tableColumn id="2" xr3:uid="{00000000-0010-0000-2600-000002000000}" name="Enrollment"/>
    <tableColumn id="3" xr3:uid="{00000000-0010-0000-2600-000003000000}" name="n"/>
    <tableColumn id="4" xr3:uid="{00000000-0010-0000-2600-000004000000}" name="Mean"/>
    <tableColumn id="5" xr3:uid="{00000000-0010-0000-2600-000005000000}" name="SD"/>
    <tableColumn id="6" xr3:uid="{00000000-0010-0000-2600-000006000000}" name="P5"/>
    <tableColumn id="7" xr3:uid="{00000000-0010-0000-2600-000007000000}" name="P95"/>
  </tableColumns>
  <tableStyleInfo name="Acute Illness Expenditure-style 2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cute_Extended_Expenditure_by_Enrollment" displayName="Acute_Extended_Expenditure_by_Enrollment" ref="S3:Y7">
  <tableColumns count="7">
    <tableColumn id="1" xr3:uid="{00000000-0010-0000-2700-000001000000}" name="Code "/>
    <tableColumn id="2" xr3:uid="{00000000-0010-0000-2700-000002000000}" name="Enrollment"/>
    <tableColumn id="3" xr3:uid="{00000000-0010-0000-2700-000003000000}" name="n"/>
    <tableColumn id="4" xr3:uid="{00000000-0010-0000-2700-000004000000}" name="Mean"/>
    <tableColumn id="5" xr3:uid="{00000000-0010-0000-2700-000005000000}" name="SD"/>
    <tableColumn id="6" xr3:uid="{00000000-0010-0000-2700-000006000000}" name="P5"/>
    <tableColumn id="7" xr3:uid="{00000000-0010-0000-2700-000007000000}" name="P95"/>
  </tableColumns>
  <tableStyleInfo name="Acute Illness Expenditure-style 3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cute_Total_Expenditure_by_Province" displayName="Acute_Total_Expenditure_by_Province" ref="B10:H17">
  <tableColumns count="7">
    <tableColumn id="1" xr3:uid="{00000000-0010-0000-2800-000001000000}" name="Province"/>
    <tableColumn id="2" xr3:uid="{00000000-0010-0000-2800-000002000000}" name="Column 1"/>
    <tableColumn id="3" xr3:uid="{00000000-0010-0000-2800-000003000000}" name="n"/>
    <tableColumn id="4" xr3:uid="{00000000-0010-0000-2800-000004000000}" name="Mean"/>
    <tableColumn id="5" xr3:uid="{00000000-0010-0000-2800-000005000000}" name="SD"/>
    <tableColumn id="6" xr3:uid="{00000000-0010-0000-2800-000006000000}" name="P5"/>
    <tableColumn id="7" xr3:uid="{00000000-0010-0000-2800-000007000000}" name="P95"/>
  </tableColumns>
  <tableStyleInfo name="Acute Illness Expenditure-style 4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cute_Core_Expenditure_by_Province" displayName="Acute_Core_Expenditure_by_Province" ref="K10:Q17">
  <tableColumns count="7">
    <tableColumn id="1" xr3:uid="{00000000-0010-0000-2900-000001000000}" name="Code"/>
    <tableColumn id="2" xr3:uid="{00000000-0010-0000-2900-000002000000}" name="Province"/>
    <tableColumn id="3" xr3:uid="{00000000-0010-0000-2900-000003000000}" name="n"/>
    <tableColumn id="4" xr3:uid="{00000000-0010-0000-2900-000004000000}" name="Mean"/>
    <tableColumn id="5" xr3:uid="{00000000-0010-0000-2900-000005000000}" name="SD"/>
    <tableColumn id="6" xr3:uid="{00000000-0010-0000-2900-000006000000}" name="P5"/>
    <tableColumn id="7" xr3:uid="{00000000-0010-0000-2900-000007000000}" name="P95"/>
  </tableColumns>
  <tableStyleInfo name="Acute Illness Expenditure-style 5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cute_Extended_Expenditure_by_Province" displayName="Acute_Extended_Expenditure_by_Province" ref="S10:Y17">
  <tableColumns count="7">
    <tableColumn id="1" xr3:uid="{00000000-0010-0000-2A00-000001000000}" name="Code"/>
    <tableColumn id="2" xr3:uid="{00000000-0010-0000-2A00-000002000000}" name="Province"/>
    <tableColumn id="3" xr3:uid="{00000000-0010-0000-2A00-000003000000}" name="n"/>
    <tableColumn id="4" xr3:uid="{00000000-0010-0000-2A00-000004000000}" name="Mean"/>
    <tableColumn id="5" xr3:uid="{00000000-0010-0000-2A00-000005000000}" name="SD"/>
    <tableColumn id="6" xr3:uid="{00000000-0010-0000-2A00-000006000000}" name="P5"/>
    <tableColumn id="7" xr3:uid="{00000000-0010-0000-2A00-000007000000}" name="P95"/>
  </tableColumns>
  <tableStyleInfo name="Acute Illness Expenditure-style 6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cute_Total_Expenditure_by_Wealth_Quantile" displayName="Acute_Total_Expenditure_by_Wealth_Quantile" ref="B20:H25">
  <tableColumns count="7">
    <tableColumn id="1" xr3:uid="{00000000-0010-0000-2B00-000001000000}" name="Wealth Quintile"/>
    <tableColumn id="2" xr3:uid="{00000000-0010-0000-2B00-000002000000}" name="Column 1"/>
    <tableColumn id="3" xr3:uid="{00000000-0010-0000-2B00-000003000000}" name="n"/>
    <tableColumn id="4" xr3:uid="{00000000-0010-0000-2B00-000004000000}" name="Mean"/>
    <tableColumn id="5" xr3:uid="{00000000-0010-0000-2B00-000005000000}" name="SD"/>
    <tableColumn id="6" xr3:uid="{00000000-0010-0000-2B00-000006000000}" name="P5"/>
    <tableColumn id="7" xr3:uid="{00000000-0010-0000-2B00-000007000000}" name="P95"/>
  </tableColumns>
  <tableStyleInfo name="Acute Illness Expenditure-style 7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Acute_Core_expenditure_by_Wealth_Quantile" displayName="Acute_Core_expenditure_by_Wealth_Quantile" ref="K20:Q25">
  <tableColumns count="7">
    <tableColumn id="1" xr3:uid="{00000000-0010-0000-2C00-000001000000}" name="Code"/>
    <tableColumn id="2" xr3:uid="{00000000-0010-0000-2C00-000002000000}" name="Wealth Quintile"/>
    <tableColumn id="3" xr3:uid="{00000000-0010-0000-2C00-000003000000}" name="n"/>
    <tableColumn id="4" xr3:uid="{00000000-0010-0000-2C00-000004000000}" name="Mean"/>
    <tableColumn id="5" xr3:uid="{00000000-0010-0000-2C00-000005000000}" name="SD"/>
    <tableColumn id="6" xr3:uid="{00000000-0010-0000-2C00-000006000000}" name="P5"/>
    <tableColumn id="7" xr3:uid="{00000000-0010-0000-2C00-000007000000}" name="P95"/>
  </tableColumns>
  <tableStyleInfo name="Acute Illness Expenditure-style 8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Acute_Extended_Expenditure_by_Wealth_Quantile" displayName="Acute_Extended_Expenditure_by_Wealth_Quantile" ref="S20:Y25">
  <tableColumns count="7">
    <tableColumn id="1" xr3:uid="{00000000-0010-0000-2D00-000001000000}" name="Code"/>
    <tableColumn id="2" xr3:uid="{00000000-0010-0000-2D00-000002000000}" name="Wealth Quintile"/>
    <tableColumn id="3" xr3:uid="{00000000-0010-0000-2D00-000003000000}" name="n"/>
    <tableColumn id="4" xr3:uid="{00000000-0010-0000-2D00-000004000000}" name="Mean"/>
    <tableColumn id="5" xr3:uid="{00000000-0010-0000-2D00-000005000000}" name="SD"/>
    <tableColumn id="6" xr3:uid="{00000000-0010-0000-2D00-000006000000}" name="P5"/>
    <tableColumn id="7" xr3:uid="{00000000-0010-0000-2D00-000007000000}" name="P95"/>
  </tableColumns>
  <tableStyleInfo name="Acute Illness Expenditure-style 9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Acute_Total_Expenditure_by_Urban_Rural" displayName="Acute_Total_Expenditure_by_Urban_Rural" ref="B28:H30">
  <tableColumns count="7">
    <tableColumn id="1" xr3:uid="{00000000-0010-0000-2E00-000001000000}" name="Urban/Rural"/>
    <tableColumn id="2" xr3:uid="{00000000-0010-0000-2E00-000002000000}" name="Column 1"/>
    <tableColumn id="3" xr3:uid="{00000000-0010-0000-2E00-000003000000}" name="n"/>
    <tableColumn id="4" xr3:uid="{00000000-0010-0000-2E00-000004000000}" name="Mean"/>
    <tableColumn id="5" xr3:uid="{00000000-0010-0000-2E00-000005000000}" name="SD"/>
    <tableColumn id="6" xr3:uid="{00000000-0010-0000-2E00-000006000000}" name="P5"/>
    <tableColumn id="7" xr3:uid="{00000000-0010-0000-2E00-000007000000}" name="P95"/>
  </tableColumns>
  <tableStyleInfo name="Acute Illness Expenditure-style 10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Acute_Core_Expenditure_by_Region" displayName="Acute_Core_Expenditure_by_Region" ref="K28:Q30">
  <tableColumns count="7">
    <tableColumn id="1" xr3:uid="{00000000-0010-0000-2F00-000001000000}" name="Column 1"/>
    <tableColumn id="2" xr3:uid="{00000000-0010-0000-2F00-000002000000}" name="Urban/Rural"/>
    <tableColumn id="3" xr3:uid="{00000000-0010-0000-2F00-000003000000}" name="n"/>
    <tableColumn id="4" xr3:uid="{00000000-0010-0000-2F00-000004000000}" name="Mean"/>
    <tableColumn id="5" xr3:uid="{00000000-0010-0000-2F00-000005000000}" name="SD"/>
    <tableColumn id="6" xr3:uid="{00000000-0010-0000-2F00-000006000000}" name="P5"/>
    <tableColumn id="7" xr3:uid="{00000000-0010-0000-2F00-000007000000}" name="P95"/>
  </tableColumns>
  <tableStyleInfo name="Acute Illness Expenditure-style 11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1" displayName="Table1" ref="S28:Y30">
  <tableColumns count="7">
    <tableColumn id="1" xr3:uid="{00000000-0010-0000-3000-000001000000}" name="Urban/Rural"/>
    <tableColumn id="2" xr3:uid="{00000000-0010-0000-3000-000002000000}" name="Column 1"/>
    <tableColumn id="3" xr3:uid="{00000000-0010-0000-3000-000003000000}" name="n"/>
    <tableColumn id="4" xr3:uid="{00000000-0010-0000-3000-000004000000}" name="Mean"/>
    <tableColumn id="5" xr3:uid="{00000000-0010-0000-3000-000005000000}" name="SD"/>
    <tableColumn id="6" xr3:uid="{00000000-0010-0000-3000-000006000000}" name="P5"/>
    <tableColumn id="7" xr3:uid="{00000000-0010-0000-3000-000007000000}" name="P95"/>
  </tableColumns>
  <tableStyleInfo name="Acute Illness Expenditure-style 12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hronic_Outpatient_Core_Expenditure" displayName="Chronic_Outpatient_Core_Expenditure" ref="C3:G4">
  <tableColumns count="5">
    <tableColumn id="1" xr3:uid="{00000000-0010-0000-3100-000001000000}" name="n"/>
    <tableColumn id="2" xr3:uid="{00000000-0010-0000-3100-000002000000}" name="Mean"/>
    <tableColumn id="3" xr3:uid="{00000000-0010-0000-3100-000003000000}" name="SD"/>
    <tableColumn id="4" xr3:uid="{00000000-0010-0000-3100-000004000000}" name="P5"/>
    <tableColumn id="5" xr3:uid="{00000000-0010-0000-3100-000005000000}" name="P95"/>
  </tableColumns>
  <tableStyleInfo name="Chronic Outpatient Expenditure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hronic_outpatient_Extended_Expenditure" displayName="Chronic_outpatient_Extended_Expenditure" ref="K3:O4">
  <tableColumns count="5">
    <tableColumn id="1" xr3:uid="{00000000-0010-0000-3200-000001000000}" name="n"/>
    <tableColumn id="2" xr3:uid="{00000000-0010-0000-3200-000002000000}" name="Mean"/>
    <tableColumn id="3" xr3:uid="{00000000-0010-0000-3200-000003000000}" name="SD"/>
    <tableColumn id="4" xr3:uid="{00000000-0010-0000-3200-000004000000}" name="P5"/>
    <tableColumn id="5" xr3:uid="{00000000-0010-0000-3200-000005000000}" name="P95"/>
  </tableColumns>
  <tableStyleInfo name="Chronic Outpatient Expenditure-style 2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hronic_Total_Expenditure" displayName="Chronic_Total_Expenditure" ref="Q3:V4">
  <tableColumns count="6">
    <tableColumn id="1" xr3:uid="{00000000-0010-0000-3300-000001000000}" name="n"/>
    <tableColumn id="2" xr3:uid="{00000000-0010-0000-3300-000002000000}" name="Column 1"/>
    <tableColumn id="3" xr3:uid="{00000000-0010-0000-3300-000003000000}" name="Mean"/>
    <tableColumn id="4" xr3:uid="{00000000-0010-0000-3300-000004000000}" name="SD"/>
    <tableColumn id="5" xr3:uid="{00000000-0010-0000-3300-000005000000}" name="P5"/>
    <tableColumn id="6" xr3:uid="{00000000-0010-0000-3300-000006000000}" name="P95"/>
  </tableColumns>
  <tableStyleInfo name="Chronic Outpatient Expenditure-style 3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hronic_Outpatient_Core_Expenditure_by_Wealth_Quantile" displayName="Chronic_Outpatient_Core_Expenditure_by_Wealth_Quantile" ref="A7:G12">
  <tableColumns count="7">
    <tableColumn id="1" xr3:uid="{00000000-0010-0000-3400-000001000000}" name="Code"/>
    <tableColumn id="2" xr3:uid="{00000000-0010-0000-3400-000002000000}" name="Wealth Quintile"/>
    <tableColumn id="3" xr3:uid="{00000000-0010-0000-3400-000003000000}" name="n"/>
    <tableColumn id="4" xr3:uid="{00000000-0010-0000-3400-000004000000}" name="Mean"/>
    <tableColumn id="5" xr3:uid="{00000000-0010-0000-3400-000005000000}" name="SD"/>
    <tableColumn id="6" xr3:uid="{00000000-0010-0000-3400-000006000000}" name="P5"/>
    <tableColumn id="7" xr3:uid="{00000000-0010-0000-3400-000007000000}" name="P95"/>
  </tableColumns>
  <tableStyleInfo name="Chronic Outpatient Expenditure-style 4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Chronic_Outpatient_Extended_Expenditu" displayName="Chronic_Outpatient_Extended_Expenditu" ref="I7:O12">
  <tableColumns count="7">
    <tableColumn id="1" xr3:uid="{00000000-0010-0000-3500-000001000000}" name="Code"/>
    <tableColumn id="2" xr3:uid="{00000000-0010-0000-3500-000002000000}" name="Wealth Quintile"/>
    <tableColumn id="3" xr3:uid="{00000000-0010-0000-3500-000003000000}" name="n"/>
    <tableColumn id="4" xr3:uid="{00000000-0010-0000-3500-000004000000}" name="Mean"/>
    <tableColumn id="5" xr3:uid="{00000000-0010-0000-3500-000005000000}" name="SD"/>
    <tableColumn id="6" xr3:uid="{00000000-0010-0000-3500-000006000000}" name="P5"/>
    <tableColumn id="7" xr3:uid="{00000000-0010-0000-3500-000007000000}" name="P95"/>
  </tableColumns>
  <tableStyleInfo name="Chronic Outpatient Expenditure-style 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2" displayName="Table2" ref="Q7:W12">
  <tableColumns count="7">
    <tableColumn id="1" xr3:uid="{00000000-0010-0000-3600-000001000000}" name="Wealth Quintile"/>
    <tableColumn id="2" xr3:uid="{00000000-0010-0000-3600-000002000000}" name="Column 1"/>
    <tableColumn id="3" xr3:uid="{00000000-0010-0000-3600-000003000000}" name="n"/>
    <tableColumn id="4" xr3:uid="{00000000-0010-0000-3600-000004000000}" name="Mean"/>
    <tableColumn id="5" xr3:uid="{00000000-0010-0000-3600-000005000000}" name="SD"/>
    <tableColumn id="6" xr3:uid="{00000000-0010-0000-3600-000006000000}" name="P5"/>
    <tableColumn id="7" xr3:uid="{00000000-0010-0000-3600-000007000000}" name="P95"/>
  </tableColumns>
  <tableStyleInfo name="Chronic Outpatient Expenditure-style 6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Chronic_Outpatient_Core_Exp_insurence__" displayName="Chronic_Outpatient_Core_Exp_insurence__" ref="A15:G19">
  <tableColumns count="7">
    <tableColumn id="1" xr3:uid="{00000000-0010-0000-3700-000001000000}" name="Code"/>
    <tableColumn id="2" xr3:uid="{00000000-0010-0000-3700-000002000000}" name="Enrollment"/>
    <tableColumn id="3" xr3:uid="{00000000-0010-0000-3700-000003000000}" name="n"/>
    <tableColumn id="4" xr3:uid="{00000000-0010-0000-3700-000004000000}" name="Mean"/>
    <tableColumn id="5" xr3:uid="{00000000-0010-0000-3700-000005000000}" name="SD"/>
    <tableColumn id="6" xr3:uid="{00000000-0010-0000-3700-000006000000}" name="P5"/>
    <tableColumn id="7" xr3:uid="{00000000-0010-0000-3700-000007000000}" name="P95"/>
  </tableColumns>
  <tableStyleInfo name="Chronic Outpatient Expenditure-style 7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Chronic_Outpatient_Extended_Expenditure_" displayName="Chronic_Outpatient_Extended_Expenditure_" ref="I15:O19">
  <tableColumns count="7">
    <tableColumn id="1" xr3:uid="{00000000-0010-0000-3800-000001000000}" name="Code"/>
    <tableColumn id="2" xr3:uid="{00000000-0010-0000-3800-000002000000}" name="Enrollment"/>
    <tableColumn id="3" xr3:uid="{00000000-0010-0000-3800-000003000000}" name="n"/>
    <tableColumn id="4" xr3:uid="{00000000-0010-0000-3800-000004000000}" name="Mean"/>
    <tableColumn id="5" xr3:uid="{00000000-0010-0000-3800-000005000000}" name="SD"/>
    <tableColumn id="6" xr3:uid="{00000000-0010-0000-3800-000006000000}" name="P5"/>
    <tableColumn id="7" xr3:uid="{00000000-0010-0000-3800-000007000000}" name="P95"/>
  </tableColumns>
  <tableStyleInfo name="Chronic Outpatient Expenditure-style 8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Chronic_Outpatient_Total_Expenditure_by_Insurence_enrollment" displayName="Chronic_Outpatient_Total_Expenditure_by_Insurence_enrollment" ref="Q15:W19">
  <tableColumns count="7">
    <tableColumn id="1" xr3:uid="{00000000-0010-0000-3900-000001000000}" name="Enrollment"/>
    <tableColumn id="2" xr3:uid="{00000000-0010-0000-3900-000002000000}" name="Column 1"/>
    <tableColumn id="3" xr3:uid="{00000000-0010-0000-3900-000003000000}" name="n"/>
    <tableColumn id="4" xr3:uid="{00000000-0010-0000-3900-000004000000}" name="Mean"/>
    <tableColumn id="5" xr3:uid="{00000000-0010-0000-3900-000005000000}" name="SD"/>
    <tableColumn id="6" xr3:uid="{00000000-0010-0000-3900-000006000000}" name="P5"/>
    <tableColumn id="7" xr3:uid="{00000000-0010-0000-3900-000007000000}" name="P95"/>
  </tableColumns>
  <tableStyleInfo name="Chronic Outpatient Expenditure-style 9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Chronic_Outpatient_Core_Exp_by_Province" displayName="Chronic_Outpatient_Core_Exp_by_Province" ref="A22:G29">
  <tableColumns count="7">
    <tableColumn id="1" xr3:uid="{00000000-0010-0000-3A00-000001000000}" name="Code"/>
    <tableColumn id="2" xr3:uid="{00000000-0010-0000-3A00-000002000000}" name="Province"/>
    <tableColumn id="3" xr3:uid="{00000000-0010-0000-3A00-000003000000}" name="n"/>
    <tableColumn id="4" xr3:uid="{00000000-0010-0000-3A00-000004000000}" name="Mean"/>
    <tableColumn id="5" xr3:uid="{00000000-0010-0000-3A00-000005000000}" name="SD"/>
    <tableColumn id="6" xr3:uid="{00000000-0010-0000-3A00-000006000000}" name="P5"/>
    <tableColumn id="7" xr3:uid="{00000000-0010-0000-3A00-000007000000}" name="P95"/>
  </tableColumns>
  <tableStyleInfo name="Chronic Outpatient Expenditure-style 10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Chronic_Outpatient_Extended_Expenditure_by__Province" displayName="Chronic_Outpatient_Extended_Expenditure_by__Province" ref="I22:O29">
  <tableColumns count="7">
    <tableColumn id="1" xr3:uid="{00000000-0010-0000-3B00-000001000000}" name="Code"/>
    <tableColumn id="2" xr3:uid="{00000000-0010-0000-3B00-000002000000}" name="Province"/>
    <tableColumn id="3" xr3:uid="{00000000-0010-0000-3B00-000003000000}" name="n"/>
    <tableColumn id="4" xr3:uid="{00000000-0010-0000-3B00-000004000000}" name="Mean"/>
    <tableColumn id="5" xr3:uid="{00000000-0010-0000-3B00-000005000000}" name="SD"/>
    <tableColumn id="6" xr3:uid="{00000000-0010-0000-3B00-000006000000}" name="P5"/>
    <tableColumn id="7" xr3:uid="{00000000-0010-0000-3B00-000007000000}" name="P95"/>
  </tableColumns>
  <tableStyleInfo name="Chronic Outpatient Expenditure-style 11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Chronic_Outpatient_Total_Expenditure_by_Province" displayName="Chronic_Outpatient_Total_Expenditure_by_Province" ref="Q22:W29">
  <tableColumns count="7">
    <tableColumn id="1" xr3:uid="{00000000-0010-0000-3C00-000001000000}" name="Province"/>
    <tableColumn id="2" xr3:uid="{00000000-0010-0000-3C00-000002000000}" name="Column 1"/>
    <tableColumn id="3" xr3:uid="{00000000-0010-0000-3C00-000003000000}" name="n"/>
    <tableColumn id="4" xr3:uid="{00000000-0010-0000-3C00-000004000000}" name="Mean"/>
    <tableColumn id="5" xr3:uid="{00000000-0010-0000-3C00-000005000000}" name="SD"/>
    <tableColumn id="6" xr3:uid="{00000000-0010-0000-3C00-000006000000}" name="P5"/>
    <tableColumn id="7" xr3:uid="{00000000-0010-0000-3C00-000007000000}" name="P95"/>
  </tableColumns>
  <tableStyleInfo name="Chronic Outpatient Expenditure-style 12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Chronic_Outpatient_Core_Exp_by_region" displayName="Chronic_Outpatient_Core_Exp_by_region" ref="A32:G34">
  <tableColumns count="7">
    <tableColumn id="1" xr3:uid="{00000000-0010-0000-3D00-000001000000}" name="Code"/>
    <tableColumn id="2" xr3:uid="{00000000-0010-0000-3D00-000002000000}" name="Urban/Rural"/>
    <tableColumn id="3" xr3:uid="{00000000-0010-0000-3D00-000003000000}" name="n"/>
    <tableColumn id="4" xr3:uid="{00000000-0010-0000-3D00-000004000000}" name="Mean"/>
    <tableColumn id="5" xr3:uid="{00000000-0010-0000-3D00-000005000000}" name="SD"/>
    <tableColumn id="6" xr3:uid="{00000000-0010-0000-3D00-000006000000}" name="P5"/>
    <tableColumn id="7" xr3:uid="{00000000-0010-0000-3D00-000007000000}" name="P95"/>
  </tableColumns>
  <tableStyleInfo name="Chronic Outpatient Expenditure-style 13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Chronic_Outpatient_Extended_Expenditure_by_Regions" displayName="Chronic_Outpatient_Extended_Expenditure_by_Regions" ref="I32:O34">
  <tableColumns count="7">
    <tableColumn id="1" xr3:uid="{00000000-0010-0000-3E00-000001000000}" name="Code "/>
    <tableColumn id="2" xr3:uid="{00000000-0010-0000-3E00-000002000000}" name="Urban/Rural"/>
    <tableColumn id="3" xr3:uid="{00000000-0010-0000-3E00-000003000000}" name="n"/>
    <tableColumn id="4" xr3:uid="{00000000-0010-0000-3E00-000004000000}" name="Mean"/>
    <tableColumn id="5" xr3:uid="{00000000-0010-0000-3E00-000005000000}" name="SD"/>
    <tableColumn id="6" xr3:uid="{00000000-0010-0000-3E00-000006000000}" name="P5"/>
    <tableColumn id="7" xr3:uid="{00000000-0010-0000-3E00-000007000000}" name="P95"/>
  </tableColumns>
  <tableStyleInfo name="Chronic Outpatient Expenditure-style 14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5" displayName="Table5" ref="Q32:W34">
  <tableColumns count="7">
    <tableColumn id="1" xr3:uid="{00000000-0010-0000-3F00-000001000000}" name="Urban/Rural"/>
    <tableColumn id="2" xr3:uid="{00000000-0010-0000-3F00-000002000000}" name="Column 1"/>
    <tableColumn id="3" xr3:uid="{00000000-0010-0000-3F00-000003000000}" name="n"/>
    <tableColumn id="4" xr3:uid="{00000000-0010-0000-3F00-000004000000}" name="Mean"/>
    <tableColumn id="5" xr3:uid="{00000000-0010-0000-3F00-000005000000}" name="SD"/>
    <tableColumn id="6" xr3:uid="{00000000-0010-0000-3F00-000006000000}" name="P5"/>
    <tableColumn id="7" xr3:uid="{00000000-0010-0000-3F00-000007000000}" name="P95"/>
  </tableColumns>
  <tableStyleInfo name="Chronic Outpatient Expenditure-style 15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Chronic_Inpatient_Extended_Expenditure_by_Wealth_Quantile" displayName="Chronic_Inpatient_Extended_Expenditure_by_Wealth_Quantile" ref="J1:O7">
  <tableColumns count="6">
    <tableColumn id="1" xr3:uid="{00000000-0010-0000-4000-000001000000}" name="Column 5"/>
    <tableColumn id="2" xr3:uid="{00000000-0010-0000-4000-000002000000}" name="Wealth Quintile"/>
    <tableColumn id="3" xr3:uid="{00000000-0010-0000-4000-000003000000}" name="Column 1"/>
    <tableColumn id="4" xr3:uid="{00000000-0010-0000-4000-000004000000}" name="Column 2"/>
    <tableColumn id="5" xr3:uid="{00000000-0010-0000-4000-000005000000}" name="Column 3"/>
    <tableColumn id="6" xr3:uid="{00000000-0010-0000-4000-000006000000}" name="Column 4"/>
  </tableColumns>
  <tableStyleInfo name="Chronic Inpatient Expenditure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Chronic_Inpatient_Total_Expenditure_by_Wealth_Quantile" displayName="Chronic_Inpatient_Total_Expenditure_by_Wealth_Quantile" ref="Q1:V7">
  <tableColumns count="6">
    <tableColumn id="1" xr3:uid="{00000000-0010-0000-4100-000001000000}" name="Column 5"/>
    <tableColumn id="2" xr3:uid="{00000000-0010-0000-4100-000002000000}" name="Wealth Quintile"/>
    <tableColumn id="3" xr3:uid="{00000000-0010-0000-4100-000003000000}" name="Column 1"/>
    <tableColumn id="4" xr3:uid="{00000000-0010-0000-4100-000004000000}" name="Column 2"/>
    <tableColumn id="5" xr3:uid="{00000000-0010-0000-4100-000005000000}" name="Column 3"/>
    <tableColumn id="6" xr3:uid="{00000000-0010-0000-4100-000006000000}" name="Column 4"/>
  </tableColumns>
  <tableStyleInfo name="Chronic Inpatient Expenditure-style 2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19" displayName="Table19" ref="B2:H7">
  <tableColumns count="7">
    <tableColumn id="1" xr3:uid="{00000000-0010-0000-4200-000001000000}" name="Code"/>
    <tableColumn id="2" xr3:uid="{00000000-0010-0000-4200-000002000000}" name="Wealth Quintile"/>
    <tableColumn id="3" xr3:uid="{00000000-0010-0000-4200-000003000000}" name="N "/>
    <tableColumn id="4" xr3:uid="{00000000-0010-0000-4200-000004000000}" name="Mean"/>
    <tableColumn id="5" xr3:uid="{00000000-0010-0000-4200-000005000000}" name="SD"/>
    <tableColumn id="6" xr3:uid="{00000000-0010-0000-4200-000006000000}" name=" P5"/>
    <tableColumn id="7" xr3:uid="{00000000-0010-0000-4200-000007000000}" name="P95"/>
  </tableColumns>
  <tableStyleInfo name="Chronic Inpatient Expenditure-style 3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Chronic_Inpatient_Extended_Expenditure_by_Region" displayName="Chronic_Inpatient_Extended_Expenditure_by_Region" ref="K10:O13">
  <tableColumns count="5">
    <tableColumn id="1" xr3:uid="{00000000-0010-0000-4300-000001000000}" name="Urban–Rural"/>
    <tableColumn id="2" xr3:uid="{00000000-0010-0000-4300-000002000000}" name="Column 1"/>
    <tableColumn id="3" xr3:uid="{00000000-0010-0000-4300-000003000000}" name="Column 2"/>
    <tableColumn id="4" xr3:uid="{00000000-0010-0000-4300-000004000000}" name="Column 3"/>
    <tableColumn id="5" xr3:uid="{00000000-0010-0000-4300-000005000000}" name="Column 4"/>
  </tableColumns>
  <tableStyleInfo name="Chronic Inpatient Expenditure-style 4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Chronic_Inpatient_Total_Expenditure_by_Region" displayName="Chronic_Inpatient_Total_Expenditure_by_Region" ref="R10:V13">
  <tableColumns count="5">
    <tableColumn id="1" xr3:uid="{00000000-0010-0000-4400-000001000000}" name="Urban–Rural"/>
    <tableColumn id="2" xr3:uid="{00000000-0010-0000-4400-000002000000}" name="Column 1"/>
    <tableColumn id="3" xr3:uid="{00000000-0010-0000-4400-000003000000}" name="Column 2"/>
    <tableColumn id="4" xr3:uid="{00000000-0010-0000-4400-000004000000}" name="Column 3"/>
    <tableColumn id="5" xr3:uid="{00000000-0010-0000-4400-000005000000}" name="Column 4"/>
  </tableColumns>
  <tableStyleInfo name="Chronic Inpatient Expenditure-style 5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Chronic_Inpatient_Core_Expenditure_by_Region" displayName="Chronic_Inpatient_Core_Expenditure_by_Region" ref="B11:H13">
  <tableColumns count="7">
    <tableColumn id="1" xr3:uid="{00000000-0010-0000-4500-000001000000}" name="Code"/>
    <tableColumn id="2" xr3:uid="{00000000-0010-0000-4500-000002000000}" name="Urban–Rural"/>
    <tableColumn id="3" xr3:uid="{00000000-0010-0000-4500-000003000000}" name="N "/>
    <tableColumn id="4" xr3:uid="{00000000-0010-0000-4500-000004000000}" name="Mean"/>
    <tableColumn id="5" xr3:uid="{00000000-0010-0000-4500-000005000000}" name="SD"/>
    <tableColumn id="6" xr3:uid="{00000000-0010-0000-4500-000006000000}" name=" P5"/>
    <tableColumn id="7" xr3:uid="{00000000-0010-0000-4500-000007000000}" name="P95"/>
  </tableColumns>
  <tableStyleInfo name="Chronic Inpatient Expenditure-style 6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2" displayName="Table_2" ref="J11:J13" headerRowCount="0">
  <tableColumns count="1">
    <tableColumn id="1" xr3:uid="{00000000-0010-0000-4600-000001000000}" name="Column1"/>
  </tableColumns>
  <tableStyleInfo name="Chronic Inpatient Expenditure-style 7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Chronic_Inpatient_Extended_Expenditure_by_province" displayName="Chronic_Inpatient_Extended_Expenditure_by_province" ref="K16:P24">
  <tableColumns count="6">
    <tableColumn id="1" xr3:uid="{00000000-0010-0000-4700-000001000000}" name="Province"/>
    <tableColumn id="2" xr3:uid="{00000000-0010-0000-4700-000002000000}" name="Column 1"/>
    <tableColumn id="3" xr3:uid="{00000000-0010-0000-4700-000003000000}" name="Column 2"/>
    <tableColumn id="4" xr3:uid="{00000000-0010-0000-4700-000004000000}" name="Column 3"/>
    <tableColumn id="5" xr3:uid="{00000000-0010-0000-4700-000005000000}" name="Column 4"/>
    <tableColumn id="6" xr3:uid="{00000000-0010-0000-4700-000006000000}" name="Column 5"/>
  </tableColumns>
  <tableStyleInfo name="Chronic Inpatient Expenditure-style 8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Chronic_Inpatient_Core_Expenditure_by_Province" displayName="Chronic_Inpatient_Core_Expenditure_by_Province" ref="B17:H24">
  <tableColumns count="7">
    <tableColumn id="1" xr3:uid="{00000000-0010-0000-4800-000001000000}" name="Column 7"/>
    <tableColumn id="2" xr3:uid="{00000000-0010-0000-4800-000002000000}" name="Province"/>
    <tableColumn id="3" xr3:uid="{00000000-0010-0000-4800-000003000000}" name="N "/>
    <tableColumn id="4" xr3:uid="{00000000-0010-0000-4800-000004000000}" name="Mean"/>
    <tableColumn id="5" xr3:uid="{00000000-0010-0000-4800-000005000000}" name="SD"/>
    <tableColumn id="6" xr3:uid="{00000000-0010-0000-4800-000006000000}" name=" P5"/>
    <tableColumn id="7" xr3:uid="{00000000-0010-0000-4800-000007000000}" name="P95"/>
  </tableColumns>
  <tableStyleInfo name="Chronic Inpatient Expenditure-style 9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Chronic_Inpatient_Total_Expenditure_by_province" displayName="Chronic_Inpatient_Total_Expenditure_by_province" ref="R17:V25">
  <tableColumns count="5">
    <tableColumn id="1" xr3:uid="{00000000-0010-0000-4900-000001000000}" name="Province"/>
    <tableColumn id="2" xr3:uid="{00000000-0010-0000-4900-000002000000}" name="Column 1"/>
    <tableColumn id="3" xr3:uid="{00000000-0010-0000-4900-000003000000}" name="Column 2"/>
    <tableColumn id="4" xr3:uid="{00000000-0010-0000-4900-000004000000}" name="Column 3"/>
    <tableColumn id="5" xr3:uid="{00000000-0010-0000-4900-000005000000}" name="Column 4"/>
  </tableColumns>
  <tableStyleInfo name="Chronic Inpatient Expenditure-style 10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Chronic_Inpatient_Core_Expenditure_by_Insurence_types" displayName="Chronic_Inpatient_Core_Expenditure_by_Insurence_types" ref="B27:H31">
  <tableColumns count="7">
    <tableColumn id="1" xr3:uid="{00000000-0010-0000-4A00-000001000000}" name="Column 7"/>
    <tableColumn id="2" xr3:uid="{00000000-0010-0000-4A00-000002000000}" name="Enrollment"/>
    <tableColumn id="3" xr3:uid="{00000000-0010-0000-4A00-000003000000}" name="N "/>
    <tableColumn id="4" xr3:uid="{00000000-0010-0000-4A00-000004000000}" name="Mean"/>
    <tableColumn id="5" xr3:uid="{00000000-0010-0000-4A00-000005000000}" name="SD"/>
    <tableColumn id="6" xr3:uid="{00000000-0010-0000-4A00-000006000000}" name=" P5"/>
    <tableColumn id="7" xr3:uid="{00000000-0010-0000-4A00-000007000000}" name="P95"/>
  </tableColumns>
  <tableStyleInfo name="Chronic Inpatient Expenditure-style 11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Chronic_Inpatient_Extended_Expenditure_by_Insurence_enrollment" displayName="Chronic_Inpatient_Extended_Expenditure_by_Insurence_enrollment" ref="K27:O32">
  <tableColumns count="5">
    <tableColumn id="1" xr3:uid="{00000000-0010-0000-4B00-000001000000}" name="Enrollment"/>
    <tableColumn id="2" xr3:uid="{00000000-0010-0000-4B00-000002000000}" name="Column 1"/>
    <tableColumn id="3" xr3:uid="{00000000-0010-0000-4B00-000003000000}" name="Column 2"/>
    <tableColumn id="4" xr3:uid="{00000000-0010-0000-4B00-000004000000}" name="Column 3"/>
    <tableColumn id="5" xr3:uid="{00000000-0010-0000-4B00-000005000000}" name="Column 4"/>
  </tableColumns>
  <tableStyleInfo name="Chronic Inpatient Expenditure-style 12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Chronic_Inpatinet_Tital_Expenditure_by_Insurence_" displayName="Chronic_Inpatinet_Tital_Expenditure_by_Insurence_" ref="R27:V32">
  <tableColumns count="5">
    <tableColumn id="1" xr3:uid="{00000000-0010-0000-4C00-000001000000}" name="Enrollment"/>
    <tableColumn id="2" xr3:uid="{00000000-0010-0000-4C00-000002000000}" name="Column 1"/>
    <tableColumn id="3" xr3:uid="{00000000-0010-0000-4C00-000003000000}" name="Column 2"/>
    <tableColumn id="4" xr3:uid="{00000000-0010-0000-4C00-000004000000}" name="Column 3"/>
    <tableColumn id="5" xr3:uid="{00000000-0010-0000-4C00-000005000000}" name="Column 4"/>
  </tableColumns>
  <tableStyleInfo name="Chronic Inpatient Expenditure-style 13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21" displayName="Table21" ref="K4:Q8">
  <tableColumns count="7">
    <tableColumn id="1" xr3:uid="{00000000-0010-0000-4D00-000001000000}" name="Enrollment"/>
    <tableColumn id="2" xr3:uid="{00000000-0010-0000-4D00-000002000000}" name="N_Households"/>
    <tableColumn id="3" xr3:uid="{00000000-0010-0000-4D00-000003000000}" name="Mean_Spending"/>
    <tableColumn id="4" xr3:uid="{00000000-0010-0000-4D00-000004000000}" name="Std_Dev"/>
    <tableColumn id="5" xr3:uid="{00000000-0010-0000-4D00-000005000000}" name="Median"/>
    <tableColumn id="6" xr3:uid="{00000000-0010-0000-4D00-000006000000}" name="P5_Lower"/>
    <tableColumn id="7" xr3:uid="{00000000-0010-0000-4D00-000007000000}" name="P95_Upper"/>
  </tableColumns>
  <tableStyleInfo name="Draft OOPE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OOPE_by_Wealth_Quantile" displayName="OOPE_by_Wealth_Quantile" ref="B5:H10">
  <tableColumns count="7">
    <tableColumn id="1" xr3:uid="{00000000-0010-0000-4E00-000001000000}" name="Characteristic"/>
    <tableColumn id="2" xr3:uid="{00000000-0010-0000-4E00-000002000000}" name="Category"/>
    <tableColumn id="3" xr3:uid="{00000000-0010-0000-4E00-000003000000}" name="N"/>
    <tableColumn id="4" xr3:uid="{00000000-0010-0000-4E00-000004000000}" name="Mean"/>
    <tableColumn id="5" xr3:uid="{00000000-0010-0000-4E00-000005000000}" name="SD"/>
    <tableColumn id="6" xr3:uid="{00000000-0010-0000-4E00-000006000000}" name="P5"/>
    <tableColumn id="7" xr3:uid="{00000000-0010-0000-4E00-000007000000}" name="P95"/>
  </tableColumns>
  <tableStyleInfo name="Draft OOPE-style 2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OOPE_by_Province" displayName="OOPE_by_Province" ref="B12:H19">
  <tableColumns count="7">
    <tableColumn id="1" xr3:uid="{00000000-0010-0000-4F00-000001000000}" name="Province "/>
    <tableColumn id="2" xr3:uid="{00000000-0010-0000-4F00-000002000000}" name="Column 1"/>
    <tableColumn id="3" xr3:uid="{00000000-0010-0000-4F00-000003000000}" name="N"/>
    <tableColumn id="4" xr3:uid="{00000000-0010-0000-4F00-000004000000}" name="Mean"/>
    <tableColumn id="5" xr3:uid="{00000000-0010-0000-4F00-000005000000}" name="SD"/>
    <tableColumn id="6" xr3:uid="{00000000-0010-0000-4F00-000006000000}" name="P 5"/>
    <tableColumn id="7" xr3:uid="{00000000-0010-0000-4F00-000007000000}" name="P95"/>
  </tableColumns>
  <tableStyleInfo name="Draft OOPE-style 3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20" displayName="Table20" ref="B23:H27">
  <tableColumns count="7">
    <tableColumn id="1" xr3:uid="{00000000-0010-0000-5000-000001000000}" name="Enrollment"/>
    <tableColumn id="2" xr3:uid="{00000000-0010-0000-5000-000002000000}" name="code"/>
    <tableColumn id="3" xr3:uid="{00000000-0010-0000-5000-000003000000}" name="_x000a__x000a_N"/>
    <tableColumn id="4" xr3:uid="{00000000-0010-0000-5000-000004000000}" name="mean"/>
    <tableColumn id="5" xr3:uid="{00000000-0010-0000-5000-000005000000}" name="SD"/>
    <tableColumn id="6" xr3:uid="{00000000-0010-0000-5000-000006000000}" name="P 5"/>
    <tableColumn id="7" xr3:uid="{00000000-0010-0000-5000-000007000000}" name="P 95"/>
  </tableColumns>
  <tableStyleInfo name="Draft OOPE-style 4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3" displayName="Table_3" ref="B31" headerRowCount="0">
  <tableColumns count="1">
    <tableColumn id="1" xr3:uid="{00000000-0010-0000-5100-000001000000}" name="Column1"/>
  </tableColumns>
  <tableStyleInfo name="Draft OOPE-style 5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OOPE_by_region" displayName="OOPE_by_region" ref="B32:H34">
  <tableColumns count="7">
    <tableColumn id="1" xr3:uid="{00000000-0010-0000-5200-000001000000}" name="Region"/>
    <tableColumn id="2" xr3:uid="{00000000-0010-0000-5200-000002000000}" name="code"/>
    <tableColumn id="3" xr3:uid="{00000000-0010-0000-5200-000003000000}" name="N"/>
    <tableColumn id="4" xr3:uid="{00000000-0010-0000-5200-000004000000}" name="mean"/>
    <tableColumn id="5" xr3:uid="{00000000-0010-0000-5200-000005000000}" name="SD"/>
    <tableColumn id="6" xr3:uid="{00000000-0010-0000-5200-000006000000}" name="P5"/>
    <tableColumn id="7" xr3:uid="{00000000-0010-0000-5200-000007000000}" name="P95"/>
  </tableColumns>
  <tableStyleInfo name="Draft OOPE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13" Type="http://schemas.openxmlformats.org/officeDocument/2006/relationships/table" Target="../tables/table17.xml"/><Relationship Id="rId18" Type="http://schemas.openxmlformats.org/officeDocument/2006/relationships/table" Target="../tables/table22.xml"/><Relationship Id="rId3" Type="http://schemas.openxmlformats.org/officeDocument/2006/relationships/table" Target="../tables/table7.xml"/><Relationship Id="rId21" Type="http://schemas.openxmlformats.org/officeDocument/2006/relationships/table" Target="../tables/table25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17" Type="http://schemas.openxmlformats.org/officeDocument/2006/relationships/table" Target="../tables/table21.xml"/><Relationship Id="rId2" Type="http://schemas.openxmlformats.org/officeDocument/2006/relationships/table" Target="../tables/table6.xml"/><Relationship Id="rId16" Type="http://schemas.openxmlformats.org/officeDocument/2006/relationships/table" Target="../tables/table20.xml"/><Relationship Id="rId20" Type="http://schemas.openxmlformats.org/officeDocument/2006/relationships/table" Target="../tables/table24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5" Type="http://schemas.openxmlformats.org/officeDocument/2006/relationships/table" Target="../tables/table19.xml"/><Relationship Id="rId10" Type="http://schemas.openxmlformats.org/officeDocument/2006/relationships/table" Target="../tables/table14.xml"/><Relationship Id="rId19" Type="http://schemas.openxmlformats.org/officeDocument/2006/relationships/table" Target="../tables/table23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Relationship Id="rId14" Type="http://schemas.openxmlformats.org/officeDocument/2006/relationships/table" Target="../tables/table18.xml"/><Relationship Id="rId22" Type="http://schemas.openxmlformats.org/officeDocument/2006/relationships/table" Target="../tables/table2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Relationship Id="rId6" Type="http://schemas.openxmlformats.org/officeDocument/2006/relationships/table" Target="../tables/table32.xml"/><Relationship Id="rId11" Type="http://schemas.openxmlformats.org/officeDocument/2006/relationships/table" Target="../tables/table37.xml"/><Relationship Id="rId5" Type="http://schemas.openxmlformats.org/officeDocument/2006/relationships/table" Target="../tables/table31.xml"/><Relationship Id="rId10" Type="http://schemas.openxmlformats.org/officeDocument/2006/relationships/table" Target="../tables/table36.xml"/><Relationship Id="rId4" Type="http://schemas.openxmlformats.org/officeDocument/2006/relationships/table" Target="../tables/table30.xml"/><Relationship Id="rId9" Type="http://schemas.openxmlformats.org/officeDocument/2006/relationships/table" Target="../tables/table3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5.xml"/><Relationship Id="rId3" Type="http://schemas.openxmlformats.org/officeDocument/2006/relationships/table" Target="../tables/table40.xml"/><Relationship Id="rId7" Type="http://schemas.openxmlformats.org/officeDocument/2006/relationships/table" Target="../tables/table44.xml"/><Relationship Id="rId12" Type="http://schemas.openxmlformats.org/officeDocument/2006/relationships/table" Target="../tables/table49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Relationship Id="rId6" Type="http://schemas.openxmlformats.org/officeDocument/2006/relationships/table" Target="../tables/table43.xml"/><Relationship Id="rId11" Type="http://schemas.openxmlformats.org/officeDocument/2006/relationships/table" Target="../tables/table48.xml"/><Relationship Id="rId5" Type="http://schemas.openxmlformats.org/officeDocument/2006/relationships/table" Target="../tables/table42.xml"/><Relationship Id="rId10" Type="http://schemas.openxmlformats.org/officeDocument/2006/relationships/table" Target="../tables/table47.xml"/><Relationship Id="rId4" Type="http://schemas.openxmlformats.org/officeDocument/2006/relationships/table" Target="../tables/table41.xml"/><Relationship Id="rId9" Type="http://schemas.openxmlformats.org/officeDocument/2006/relationships/table" Target="../tables/table4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7.xml"/><Relationship Id="rId13" Type="http://schemas.openxmlformats.org/officeDocument/2006/relationships/table" Target="../tables/table62.xml"/><Relationship Id="rId3" Type="http://schemas.openxmlformats.org/officeDocument/2006/relationships/table" Target="../tables/table52.xml"/><Relationship Id="rId7" Type="http://schemas.openxmlformats.org/officeDocument/2006/relationships/table" Target="../tables/table56.xml"/><Relationship Id="rId12" Type="http://schemas.openxmlformats.org/officeDocument/2006/relationships/table" Target="../tables/table61.xml"/><Relationship Id="rId2" Type="http://schemas.openxmlformats.org/officeDocument/2006/relationships/table" Target="../tables/table51.xml"/><Relationship Id="rId1" Type="http://schemas.openxmlformats.org/officeDocument/2006/relationships/table" Target="../tables/table50.xml"/><Relationship Id="rId6" Type="http://schemas.openxmlformats.org/officeDocument/2006/relationships/table" Target="../tables/table55.xml"/><Relationship Id="rId11" Type="http://schemas.openxmlformats.org/officeDocument/2006/relationships/table" Target="../tables/table60.xml"/><Relationship Id="rId5" Type="http://schemas.openxmlformats.org/officeDocument/2006/relationships/table" Target="../tables/table54.xml"/><Relationship Id="rId15" Type="http://schemas.openxmlformats.org/officeDocument/2006/relationships/table" Target="../tables/table64.xml"/><Relationship Id="rId10" Type="http://schemas.openxmlformats.org/officeDocument/2006/relationships/table" Target="../tables/table59.xml"/><Relationship Id="rId4" Type="http://schemas.openxmlformats.org/officeDocument/2006/relationships/table" Target="../tables/table53.xml"/><Relationship Id="rId9" Type="http://schemas.openxmlformats.org/officeDocument/2006/relationships/table" Target="../tables/table58.xml"/><Relationship Id="rId14" Type="http://schemas.openxmlformats.org/officeDocument/2006/relationships/table" Target="../tables/table6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2.xml"/><Relationship Id="rId13" Type="http://schemas.openxmlformats.org/officeDocument/2006/relationships/table" Target="../tables/table77.xml"/><Relationship Id="rId3" Type="http://schemas.openxmlformats.org/officeDocument/2006/relationships/table" Target="../tables/table67.xml"/><Relationship Id="rId7" Type="http://schemas.openxmlformats.org/officeDocument/2006/relationships/table" Target="../tables/table71.xml"/><Relationship Id="rId12" Type="http://schemas.openxmlformats.org/officeDocument/2006/relationships/table" Target="../tables/table76.xml"/><Relationship Id="rId2" Type="http://schemas.openxmlformats.org/officeDocument/2006/relationships/table" Target="../tables/table66.xml"/><Relationship Id="rId1" Type="http://schemas.openxmlformats.org/officeDocument/2006/relationships/table" Target="../tables/table65.xml"/><Relationship Id="rId6" Type="http://schemas.openxmlformats.org/officeDocument/2006/relationships/table" Target="../tables/table70.xml"/><Relationship Id="rId11" Type="http://schemas.openxmlformats.org/officeDocument/2006/relationships/table" Target="../tables/table75.xml"/><Relationship Id="rId5" Type="http://schemas.openxmlformats.org/officeDocument/2006/relationships/table" Target="../tables/table69.xml"/><Relationship Id="rId10" Type="http://schemas.openxmlformats.org/officeDocument/2006/relationships/table" Target="../tables/table74.xml"/><Relationship Id="rId4" Type="http://schemas.openxmlformats.org/officeDocument/2006/relationships/table" Target="../tables/table68.xml"/><Relationship Id="rId9" Type="http://schemas.openxmlformats.org/officeDocument/2006/relationships/table" Target="../tables/table7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2" Type="http://schemas.openxmlformats.org/officeDocument/2006/relationships/table" Target="../tables/table79.xml"/><Relationship Id="rId1" Type="http://schemas.openxmlformats.org/officeDocument/2006/relationships/table" Target="../tables/table78.xml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O35"/>
  <sheetViews>
    <sheetView tabSelected="1" workbookViewId="0"/>
  </sheetViews>
  <sheetFormatPr defaultColWidth="12.5703125" defaultRowHeight="15.75" customHeight="1" x14ac:dyDescent="0.2"/>
  <cols>
    <col min="2" max="2" width="13.85546875" customWidth="1"/>
    <col min="3" max="3" width="15.42578125" customWidth="1"/>
    <col min="9" max="9" width="15" customWidth="1"/>
    <col min="10" max="10" width="15.7109375" customWidth="1"/>
    <col min="11" max="11" width="18.7109375" customWidth="1"/>
    <col min="12" max="12" width="12.85546875" customWidth="1"/>
    <col min="13" max="13" width="15.140625" customWidth="1"/>
    <col min="14" max="14" width="15.42578125" customWidth="1"/>
  </cols>
  <sheetData>
    <row r="2" spans="2:15" ht="22.5" customHeight="1" x14ac:dyDescent="0.2">
      <c r="B2" s="1" t="s">
        <v>0</v>
      </c>
      <c r="C2" s="1" t="s">
        <v>1</v>
      </c>
      <c r="D2" s="1" t="s">
        <v>2</v>
      </c>
      <c r="E2" s="1" t="s">
        <v>3</v>
      </c>
      <c r="G2" s="2"/>
      <c r="H2" s="1" t="s">
        <v>0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3" t="s">
        <v>9</v>
      </c>
      <c r="O2" s="3" t="s">
        <v>10</v>
      </c>
    </row>
    <row r="3" spans="2:15" ht="22.5" customHeight="1" x14ac:dyDescent="0.2">
      <c r="B3" s="4" t="s">
        <v>11</v>
      </c>
      <c r="C3" s="4" t="s">
        <v>12</v>
      </c>
      <c r="D3" s="4" t="s">
        <v>13</v>
      </c>
      <c r="E3" s="5">
        <v>644</v>
      </c>
      <c r="G3" s="6"/>
      <c r="H3" s="7" t="s">
        <v>11</v>
      </c>
      <c r="I3" s="7" t="s">
        <v>1</v>
      </c>
      <c r="J3" s="7" t="s">
        <v>14</v>
      </c>
      <c r="K3" s="7" t="s">
        <v>15</v>
      </c>
      <c r="L3" s="7">
        <v>429</v>
      </c>
      <c r="M3" s="8">
        <v>1</v>
      </c>
      <c r="N3" s="3" t="s">
        <v>16</v>
      </c>
      <c r="O3" s="3" t="s">
        <v>17</v>
      </c>
    </row>
    <row r="4" spans="2:15" ht="22.5" customHeight="1" x14ac:dyDescent="0.2">
      <c r="B4" s="4" t="s">
        <v>18</v>
      </c>
      <c r="C4" s="4" t="s">
        <v>19</v>
      </c>
      <c r="D4" s="4" t="s">
        <v>20</v>
      </c>
      <c r="E4" s="5">
        <v>504</v>
      </c>
      <c r="G4" s="6"/>
      <c r="H4" s="7"/>
      <c r="I4" s="7" t="s">
        <v>2</v>
      </c>
      <c r="J4" s="7" t="s">
        <v>21</v>
      </c>
      <c r="K4" s="7" t="s">
        <v>22</v>
      </c>
      <c r="L4" s="7">
        <v>215</v>
      </c>
      <c r="M4" s="8">
        <v>1</v>
      </c>
    </row>
    <row r="5" spans="2:15" ht="22.5" customHeight="1" x14ac:dyDescent="0.2">
      <c r="B5" s="4" t="s">
        <v>23</v>
      </c>
      <c r="C5" s="4" t="s">
        <v>24</v>
      </c>
      <c r="D5" s="4" t="s">
        <v>25</v>
      </c>
      <c r="E5" s="9">
        <v>1339</v>
      </c>
      <c r="G5" s="6"/>
      <c r="H5" s="4" t="s">
        <v>18</v>
      </c>
      <c r="I5" s="4" t="s">
        <v>1</v>
      </c>
      <c r="J5" s="4" t="s">
        <v>26</v>
      </c>
      <c r="K5" s="4" t="s">
        <v>27</v>
      </c>
      <c r="L5" s="4">
        <v>341</v>
      </c>
      <c r="M5" s="8">
        <v>1</v>
      </c>
    </row>
    <row r="6" spans="2:15" ht="22.5" customHeight="1" x14ac:dyDescent="0.2">
      <c r="B6" s="4" t="s">
        <v>28</v>
      </c>
      <c r="C6" s="4" t="s">
        <v>29</v>
      </c>
      <c r="D6" s="4" t="s">
        <v>30</v>
      </c>
      <c r="E6" s="5">
        <v>466</v>
      </c>
      <c r="G6" s="6"/>
      <c r="H6" s="4"/>
      <c r="I6" s="4" t="s">
        <v>2</v>
      </c>
      <c r="J6" s="4" t="s">
        <v>31</v>
      </c>
      <c r="K6" s="10" t="s">
        <v>32</v>
      </c>
      <c r="L6" s="4">
        <v>163</v>
      </c>
      <c r="M6" s="8">
        <v>1</v>
      </c>
    </row>
    <row r="7" spans="2:15" ht="22.5" customHeight="1" x14ac:dyDescent="0.2">
      <c r="B7" s="4" t="s">
        <v>33</v>
      </c>
      <c r="C7" s="4" t="s">
        <v>34</v>
      </c>
      <c r="D7" s="4" t="s">
        <v>35</v>
      </c>
      <c r="E7" s="5">
        <v>550</v>
      </c>
      <c r="G7" s="6"/>
      <c r="H7" s="7" t="s">
        <v>23</v>
      </c>
      <c r="I7" s="7" t="s">
        <v>1</v>
      </c>
      <c r="J7" s="7" t="s">
        <v>36</v>
      </c>
      <c r="K7" s="7" t="s">
        <v>37</v>
      </c>
      <c r="L7" s="11">
        <v>1179</v>
      </c>
      <c r="M7" s="8">
        <v>1</v>
      </c>
    </row>
    <row r="8" spans="2:15" ht="22.5" customHeight="1" x14ac:dyDescent="0.2">
      <c r="B8" s="4" t="s">
        <v>38</v>
      </c>
      <c r="C8" s="4" t="s">
        <v>39</v>
      </c>
      <c r="D8" s="4" t="s">
        <v>40</v>
      </c>
      <c r="E8" s="5">
        <v>366</v>
      </c>
      <c r="G8" s="6"/>
      <c r="H8" s="7"/>
      <c r="I8" s="7" t="s">
        <v>2</v>
      </c>
      <c r="J8" s="7" t="s">
        <v>41</v>
      </c>
      <c r="K8" s="7" t="s">
        <v>41</v>
      </c>
      <c r="L8" s="7">
        <v>160</v>
      </c>
      <c r="M8" s="8">
        <v>1</v>
      </c>
    </row>
    <row r="9" spans="2:15" ht="22.5" customHeight="1" x14ac:dyDescent="0.2">
      <c r="B9" s="4" t="s">
        <v>42</v>
      </c>
      <c r="C9" s="4" t="s">
        <v>43</v>
      </c>
      <c r="D9" s="4" t="s">
        <v>44</v>
      </c>
      <c r="E9" s="5">
        <v>411</v>
      </c>
      <c r="G9" s="6"/>
      <c r="H9" s="4" t="s">
        <v>28</v>
      </c>
      <c r="I9" s="4" t="s">
        <v>1</v>
      </c>
      <c r="J9" s="4" t="s">
        <v>45</v>
      </c>
      <c r="K9" s="4" t="s">
        <v>46</v>
      </c>
      <c r="L9" s="4">
        <v>297</v>
      </c>
      <c r="M9" s="8">
        <v>1</v>
      </c>
    </row>
    <row r="10" spans="2:15" ht="22.5" customHeight="1" x14ac:dyDescent="0.2">
      <c r="B10" s="5" t="s">
        <v>47</v>
      </c>
      <c r="C10" s="5" t="s">
        <v>48</v>
      </c>
      <c r="D10" s="5" t="s">
        <v>49</v>
      </c>
      <c r="E10" s="9">
        <v>4280</v>
      </c>
      <c r="G10" s="6"/>
      <c r="H10" s="4"/>
      <c r="I10" s="4" t="s">
        <v>2</v>
      </c>
      <c r="J10" s="4" t="s">
        <v>50</v>
      </c>
      <c r="K10" s="4" t="s">
        <v>51</v>
      </c>
      <c r="L10" s="4">
        <v>169</v>
      </c>
      <c r="M10" s="8">
        <v>1</v>
      </c>
    </row>
    <row r="11" spans="2:15" ht="22.5" customHeight="1" x14ac:dyDescent="0.2">
      <c r="G11" s="6"/>
      <c r="H11" s="7" t="s">
        <v>33</v>
      </c>
      <c r="I11" s="7" t="s">
        <v>1</v>
      </c>
      <c r="J11" s="7" t="s">
        <v>52</v>
      </c>
      <c r="K11" s="7" t="s">
        <v>53</v>
      </c>
      <c r="L11" s="7">
        <v>346</v>
      </c>
      <c r="M11" s="8">
        <v>1</v>
      </c>
    </row>
    <row r="12" spans="2:15" ht="22.5" customHeight="1" x14ac:dyDescent="0.2">
      <c r="G12" s="6"/>
      <c r="H12" s="7"/>
      <c r="I12" s="7" t="s">
        <v>2</v>
      </c>
      <c r="J12" s="7" t="s">
        <v>54</v>
      </c>
      <c r="K12" s="7" t="s">
        <v>55</v>
      </c>
      <c r="L12" s="7">
        <v>204</v>
      </c>
      <c r="M12" s="8">
        <v>1</v>
      </c>
    </row>
    <row r="13" spans="2:15" ht="22.5" customHeight="1" x14ac:dyDescent="0.2">
      <c r="G13" s="6"/>
      <c r="H13" s="4" t="s">
        <v>38</v>
      </c>
      <c r="I13" s="4" t="s">
        <v>1</v>
      </c>
      <c r="J13" s="4" t="s">
        <v>56</v>
      </c>
      <c r="K13" s="4" t="s">
        <v>56</v>
      </c>
      <c r="L13" s="4">
        <v>202</v>
      </c>
      <c r="M13" s="8">
        <v>1</v>
      </c>
    </row>
    <row r="14" spans="2:15" ht="22.5" customHeight="1" x14ac:dyDescent="0.2">
      <c r="B14" s="1" t="s">
        <v>0</v>
      </c>
      <c r="C14" s="1" t="s">
        <v>57</v>
      </c>
      <c r="D14" s="1" t="s">
        <v>58</v>
      </c>
      <c r="E14" s="1" t="s">
        <v>59</v>
      </c>
      <c r="G14" s="6"/>
      <c r="H14" s="4"/>
      <c r="I14" s="4" t="s">
        <v>2</v>
      </c>
      <c r="J14" s="4" t="s">
        <v>60</v>
      </c>
      <c r="K14" s="4" t="s">
        <v>60</v>
      </c>
      <c r="L14" s="4">
        <v>164</v>
      </c>
      <c r="M14" s="8">
        <v>1</v>
      </c>
    </row>
    <row r="15" spans="2:15" ht="22.5" customHeight="1" x14ac:dyDescent="0.2">
      <c r="B15" s="12" t="s">
        <v>11</v>
      </c>
      <c r="C15" s="12">
        <v>323</v>
      </c>
      <c r="D15" s="12">
        <v>321</v>
      </c>
      <c r="E15" s="12">
        <v>644</v>
      </c>
      <c r="G15" s="6"/>
      <c r="H15" s="7" t="s">
        <v>42</v>
      </c>
      <c r="I15" s="7" t="s">
        <v>1</v>
      </c>
      <c r="J15" s="7" t="s">
        <v>61</v>
      </c>
      <c r="K15" s="7" t="s">
        <v>62</v>
      </c>
      <c r="L15" s="7">
        <v>251</v>
      </c>
      <c r="M15" s="8">
        <v>1</v>
      </c>
    </row>
    <row r="16" spans="2:15" ht="22.5" customHeight="1" x14ac:dyDescent="0.2">
      <c r="B16" s="12" t="s">
        <v>18</v>
      </c>
      <c r="C16" s="12">
        <v>252</v>
      </c>
      <c r="D16" s="12">
        <v>252</v>
      </c>
      <c r="E16" s="12">
        <v>504</v>
      </c>
      <c r="G16" s="6"/>
      <c r="H16" s="7"/>
      <c r="I16" s="7" t="s">
        <v>2</v>
      </c>
      <c r="J16" s="7" t="s">
        <v>41</v>
      </c>
      <c r="K16" s="7" t="s">
        <v>41</v>
      </c>
      <c r="L16" s="7">
        <v>160</v>
      </c>
      <c r="M16" s="8">
        <v>1</v>
      </c>
    </row>
    <row r="17" spans="2:15" ht="22.5" customHeight="1" x14ac:dyDescent="0.2">
      <c r="B17" s="12" t="s">
        <v>23</v>
      </c>
      <c r="C17" s="12">
        <v>666</v>
      </c>
      <c r="D17" s="12">
        <v>673</v>
      </c>
      <c r="E17" s="13">
        <v>1339</v>
      </c>
      <c r="H17" s="5" t="s">
        <v>63</v>
      </c>
      <c r="I17" s="5"/>
      <c r="J17" s="5" t="s">
        <v>64</v>
      </c>
      <c r="K17" s="5" t="s">
        <v>65</v>
      </c>
      <c r="L17" s="9">
        <v>4280</v>
      </c>
      <c r="M17" s="8"/>
    </row>
    <row r="18" spans="2:15" ht="22.5" customHeight="1" x14ac:dyDescent="0.2">
      <c r="B18" s="12" t="s">
        <v>28</v>
      </c>
      <c r="C18" s="12">
        <v>232</v>
      </c>
      <c r="D18" s="12">
        <v>234</v>
      </c>
      <c r="E18" s="12">
        <v>466</v>
      </c>
    </row>
    <row r="19" spans="2:15" ht="22.5" customHeight="1" x14ac:dyDescent="0.2">
      <c r="B19" s="12" t="s">
        <v>33</v>
      </c>
      <c r="C19" s="12">
        <v>276</v>
      </c>
      <c r="D19" s="12">
        <v>274</v>
      </c>
      <c r="E19" s="12">
        <v>550</v>
      </c>
    </row>
    <row r="20" spans="2:15" ht="22.5" customHeight="1" x14ac:dyDescent="0.2">
      <c r="B20" s="12" t="s">
        <v>38</v>
      </c>
      <c r="C20" s="12">
        <v>183</v>
      </c>
      <c r="D20" s="12">
        <v>183</v>
      </c>
      <c r="E20" s="12">
        <v>366</v>
      </c>
      <c r="H20" s="14" t="s">
        <v>0</v>
      </c>
      <c r="I20" s="14" t="s">
        <v>66</v>
      </c>
      <c r="J20" s="14" t="s">
        <v>67</v>
      </c>
      <c r="K20" s="14" t="s">
        <v>68</v>
      </c>
      <c r="L20" s="14" t="s">
        <v>69</v>
      </c>
      <c r="M20" s="14" t="s">
        <v>70</v>
      </c>
      <c r="N20" s="15" t="s">
        <v>7</v>
      </c>
      <c r="O20" s="15" t="s">
        <v>47</v>
      </c>
    </row>
    <row r="21" spans="2:15" ht="22.5" customHeight="1" x14ac:dyDescent="0.2">
      <c r="B21" s="16" t="s">
        <v>42</v>
      </c>
      <c r="C21" s="12">
        <v>206</v>
      </c>
      <c r="D21" s="12">
        <v>205</v>
      </c>
      <c r="E21" s="12">
        <v>411</v>
      </c>
      <c r="H21" s="17" t="s">
        <v>11</v>
      </c>
      <c r="I21" s="17" t="s">
        <v>1</v>
      </c>
      <c r="J21" s="17" t="s">
        <v>71</v>
      </c>
      <c r="K21" s="17" t="s">
        <v>72</v>
      </c>
      <c r="L21" s="17" t="s">
        <v>73</v>
      </c>
      <c r="M21" s="17" t="s">
        <v>74</v>
      </c>
      <c r="N21" s="18">
        <v>429</v>
      </c>
      <c r="O21" s="19">
        <v>1</v>
      </c>
    </row>
    <row r="22" spans="2:15" ht="22.5" customHeight="1" x14ac:dyDescent="0.2">
      <c r="B22" s="12" t="s">
        <v>47</v>
      </c>
      <c r="C22" s="13" t="s">
        <v>75</v>
      </c>
      <c r="D22" s="13" t="s">
        <v>76</v>
      </c>
      <c r="E22" s="13" t="s">
        <v>77</v>
      </c>
      <c r="H22" s="17"/>
      <c r="I22" s="17" t="s">
        <v>2</v>
      </c>
      <c r="J22" s="17" t="s">
        <v>78</v>
      </c>
      <c r="K22" s="17" t="s">
        <v>78</v>
      </c>
      <c r="L22" s="17" t="s">
        <v>79</v>
      </c>
      <c r="M22" s="17" t="s">
        <v>80</v>
      </c>
      <c r="N22" s="18">
        <v>215</v>
      </c>
      <c r="O22" s="19">
        <v>1</v>
      </c>
    </row>
    <row r="23" spans="2:15" ht="22.5" customHeight="1" x14ac:dyDescent="0.2">
      <c r="H23" s="20" t="s">
        <v>18</v>
      </c>
      <c r="I23" s="20" t="s">
        <v>1</v>
      </c>
      <c r="J23" s="20" t="s">
        <v>81</v>
      </c>
      <c r="K23" s="20" t="s">
        <v>81</v>
      </c>
      <c r="L23" s="20" t="s">
        <v>82</v>
      </c>
      <c r="M23" s="20" t="s">
        <v>83</v>
      </c>
      <c r="N23" s="4">
        <v>341</v>
      </c>
      <c r="O23" s="19">
        <v>1</v>
      </c>
    </row>
    <row r="24" spans="2:15" ht="22.5" customHeight="1" x14ac:dyDescent="0.2">
      <c r="H24" s="20"/>
      <c r="I24" s="20" t="s">
        <v>2</v>
      </c>
      <c r="J24" s="20" t="s">
        <v>84</v>
      </c>
      <c r="K24" s="20" t="s">
        <v>84</v>
      </c>
      <c r="L24" s="20" t="s">
        <v>85</v>
      </c>
      <c r="M24" s="20" t="s">
        <v>86</v>
      </c>
      <c r="N24" s="4">
        <v>163</v>
      </c>
      <c r="O24" s="19">
        <v>1</v>
      </c>
    </row>
    <row r="25" spans="2:15" ht="22.5" customHeight="1" x14ac:dyDescent="0.2">
      <c r="H25" s="21" t="s">
        <v>23</v>
      </c>
      <c r="I25" s="21" t="s">
        <v>1</v>
      </c>
      <c r="J25" s="21" t="s">
        <v>87</v>
      </c>
      <c r="K25" s="21" t="s">
        <v>87</v>
      </c>
      <c r="L25" s="21" t="s">
        <v>88</v>
      </c>
      <c r="M25" s="21" t="s">
        <v>89</v>
      </c>
      <c r="N25" s="22">
        <v>1179</v>
      </c>
      <c r="O25" s="23">
        <v>1</v>
      </c>
    </row>
    <row r="26" spans="2:15" ht="22.5" customHeight="1" x14ac:dyDescent="0.2">
      <c r="H26" s="21"/>
      <c r="I26" s="21" t="s">
        <v>2</v>
      </c>
      <c r="J26" s="21" t="s">
        <v>41</v>
      </c>
      <c r="K26" s="21" t="s">
        <v>41</v>
      </c>
      <c r="L26" s="21" t="s">
        <v>90</v>
      </c>
      <c r="M26" s="21" t="s">
        <v>90</v>
      </c>
      <c r="N26" s="24">
        <v>160</v>
      </c>
      <c r="O26" s="23">
        <v>1</v>
      </c>
    </row>
    <row r="27" spans="2:15" ht="22.5" customHeight="1" x14ac:dyDescent="0.2">
      <c r="H27" s="20" t="s">
        <v>28</v>
      </c>
      <c r="I27" s="20" t="s">
        <v>1</v>
      </c>
      <c r="J27" s="20" t="s">
        <v>91</v>
      </c>
      <c r="K27" s="20" t="s">
        <v>92</v>
      </c>
      <c r="L27" s="20" t="s">
        <v>93</v>
      </c>
      <c r="M27" s="20" t="s">
        <v>94</v>
      </c>
      <c r="N27" s="4">
        <v>297</v>
      </c>
      <c r="O27" s="19">
        <v>1</v>
      </c>
    </row>
    <row r="28" spans="2:15" ht="22.5" customHeight="1" x14ac:dyDescent="0.2">
      <c r="H28" s="20"/>
      <c r="I28" s="20" t="s">
        <v>2</v>
      </c>
      <c r="J28" s="20" t="s">
        <v>95</v>
      </c>
      <c r="K28" s="20" t="s">
        <v>95</v>
      </c>
      <c r="L28" s="20" t="s">
        <v>96</v>
      </c>
      <c r="M28" s="20" t="s">
        <v>97</v>
      </c>
      <c r="N28" s="4">
        <v>169</v>
      </c>
      <c r="O28" s="19">
        <v>1</v>
      </c>
    </row>
    <row r="29" spans="2:15" ht="22.5" customHeight="1" x14ac:dyDescent="0.2">
      <c r="H29" s="17" t="s">
        <v>33</v>
      </c>
      <c r="I29" s="17" t="s">
        <v>1</v>
      </c>
      <c r="J29" s="17" t="s">
        <v>98</v>
      </c>
      <c r="K29" s="17" t="s">
        <v>98</v>
      </c>
      <c r="L29" s="17" t="s">
        <v>99</v>
      </c>
      <c r="M29" s="17" t="s">
        <v>100</v>
      </c>
      <c r="N29" s="18">
        <v>346</v>
      </c>
      <c r="O29" s="19">
        <v>1</v>
      </c>
    </row>
    <row r="30" spans="2:15" ht="22.5" customHeight="1" x14ac:dyDescent="0.2">
      <c r="H30" s="17"/>
      <c r="I30" s="17" t="s">
        <v>2</v>
      </c>
      <c r="J30" s="17" t="s">
        <v>54</v>
      </c>
      <c r="K30" s="17" t="s">
        <v>101</v>
      </c>
      <c r="L30" s="17" t="s">
        <v>90</v>
      </c>
      <c r="M30" s="17" t="s">
        <v>102</v>
      </c>
      <c r="N30" s="18">
        <v>204</v>
      </c>
      <c r="O30" s="19">
        <v>1</v>
      </c>
    </row>
    <row r="31" spans="2:15" ht="22.5" customHeight="1" x14ac:dyDescent="0.2">
      <c r="H31" s="20" t="s">
        <v>38</v>
      </c>
      <c r="I31" s="20" t="s">
        <v>1</v>
      </c>
      <c r="J31" s="20" t="s">
        <v>103</v>
      </c>
      <c r="K31" s="20" t="s">
        <v>103</v>
      </c>
      <c r="L31" s="20" t="s">
        <v>104</v>
      </c>
      <c r="M31" s="20" t="s">
        <v>104</v>
      </c>
      <c r="N31" s="4">
        <v>202</v>
      </c>
      <c r="O31" s="19">
        <v>1</v>
      </c>
    </row>
    <row r="32" spans="2:15" ht="22.5" customHeight="1" x14ac:dyDescent="0.2">
      <c r="H32" s="20"/>
      <c r="I32" s="20" t="s">
        <v>2</v>
      </c>
      <c r="J32" s="20" t="s">
        <v>60</v>
      </c>
      <c r="K32" s="20" t="s">
        <v>60</v>
      </c>
      <c r="L32" s="20" t="s">
        <v>90</v>
      </c>
      <c r="M32" s="20" t="s">
        <v>90</v>
      </c>
      <c r="N32" s="4">
        <v>164</v>
      </c>
      <c r="O32" s="19">
        <v>1</v>
      </c>
    </row>
    <row r="33" spans="8:15" ht="22.5" customHeight="1" x14ac:dyDescent="0.2">
      <c r="H33" s="21" t="s">
        <v>42</v>
      </c>
      <c r="I33" s="21" t="s">
        <v>1</v>
      </c>
      <c r="J33" s="21" t="s">
        <v>105</v>
      </c>
      <c r="K33" s="21" t="s">
        <v>105</v>
      </c>
      <c r="L33" s="21" t="s">
        <v>106</v>
      </c>
      <c r="M33" s="21" t="s">
        <v>107</v>
      </c>
      <c r="N33" s="24">
        <v>251</v>
      </c>
      <c r="O33" s="23">
        <v>1</v>
      </c>
    </row>
    <row r="34" spans="8:15" ht="22.5" customHeight="1" x14ac:dyDescent="0.2">
      <c r="H34" s="21"/>
      <c r="I34" s="21" t="s">
        <v>2</v>
      </c>
      <c r="J34" s="21" t="s">
        <v>41</v>
      </c>
      <c r="K34" s="21" t="s">
        <v>41</v>
      </c>
      <c r="L34" s="21" t="s">
        <v>90</v>
      </c>
      <c r="M34" s="21" t="s">
        <v>90</v>
      </c>
      <c r="N34" s="24">
        <v>160</v>
      </c>
      <c r="O34" s="23">
        <v>1</v>
      </c>
    </row>
    <row r="35" spans="8:15" ht="22.5" customHeight="1" x14ac:dyDescent="0.2">
      <c r="H35" s="25" t="s">
        <v>63</v>
      </c>
      <c r="I35" s="25"/>
      <c r="J35" s="26" t="s">
        <v>108</v>
      </c>
      <c r="K35" s="26" t="s">
        <v>109</v>
      </c>
      <c r="L35" s="25" t="s">
        <v>110</v>
      </c>
      <c r="M35" s="25" t="s">
        <v>111</v>
      </c>
      <c r="N35" s="9" t="s">
        <v>77</v>
      </c>
      <c r="O35" s="27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11"/>
  <sheetViews>
    <sheetView workbookViewId="0"/>
  </sheetViews>
  <sheetFormatPr defaultColWidth="12.5703125" defaultRowHeight="15.75" customHeight="1" x14ac:dyDescent="0.2"/>
  <cols>
    <col min="2" max="2" width="15.85546875" customWidth="1"/>
    <col min="7" max="7" width="12.7109375" customWidth="1"/>
    <col min="8" max="8" width="21.42578125" customWidth="1"/>
    <col min="9" max="9" width="25.7109375" customWidth="1"/>
  </cols>
  <sheetData>
    <row r="1" spans="1:12" ht="18" x14ac:dyDescent="0.25">
      <c r="A1" s="28" t="s">
        <v>112</v>
      </c>
      <c r="B1" s="29"/>
    </row>
    <row r="2" spans="1:12" ht="12.75" x14ac:dyDescent="0.2">
      <c r="H2" s="30"/>
    </row>
    <row r="3" spans="1:12" ht="12.75" x14ac:dyDescent="0.2">
      <c r="A3" s="30" t="s">
        <v>113</v>
      </c>
    </row>
    <row r="4" spans="1:12" ht="12.75" x14ac:dyDescent="0.2">
      <c r="A4" s="31"/>
      <c r="B4" s="31"/>
      <c r="C4" s="31"/>
      <c r="D4" s="31"/>
    </row>
    <row r="5" spans="1:12" ht="22.5" customHeight="1" x14ac:dyDescent="0.2">
      <c r="A5" s="32" t="s">
        <v>114</v>
      </c>
      <c r="B5" s="32" t="s">
        <v>115</v>
      </c>
      <c r="C5" s="32" t="s">
        <v>116</v>
      </c>
      <c r="D5" s="32" t="s">
        <v>117</v>
      </c>
      <c r="H5" s="33" t="s">
        <v>8</v>
      </c>
      <c r="I5" s="32" t="s">
        <v>115</v>
      </c>
      <c r="J5" s="32" t="s">
        <v>118</v>
      </c>
      <c r="K5" s="32" t="s">
        <v>116</v>
      </c>
      <c r="L5" s="32" t="s">
        <v>119</v>
      </c>
    </row>
    <row r="6" spans="1:12" ht="22.5" customHeight="1" x14ac:dyDescent="0.2">
      <c r="A6" s="20">
        <v>1</v>
      </c>
      <c r="B6" s="34" t="s">
        <v>67</v>
      </c>
      <c r="C6" s="20">
        <v>1484</v>
      </c>
      <c r="D6" s="20">
        <v>34.700000000000003</v>
      </c>
      <c r="H6" s="34" t="s">
        <v>120</v>
      </c>
      <c r="I6" s="34" t="s">
        <v>121</v>
      </c>
      <c r="J6" s="20">
        <v>82.3</v>
      </c>
      <c r="K6" s="35">
        <v>3521</v>
      </c>
      <c r="L6" s="36">
        <v>4280</v>
      </c>
    </row>
    <row r="7" spans="1:12" ht="22.5" customHeight="1" x14ac:dyDescent="0.2">
      <c r="A7" s="20">
        <v>2</v>
      </c>
      <c r="B7" s="34" t="s">
        <v>68</v>
      </c>
      <c r="C7" s="20">
        <v>1485</v>
      </c>
      <c r="D7" s="20">
        <v>34.700000000000003</v>
      </c>
      <c r="H7" s="34"/>
      <c r="I7" s="34" t="s">
        <v>122</v>
      </c>
      <c r="J7" s="20">
        <v>17.7</v>
      </c>
      <c r="K7" s="20">
        <v>759</v>
      </c>
      <c r="L7" s="36">
        <v>4280</v>
      </c>
    </row>
    <row r="8" spans="1:12" ht="22.5" customHeight="1" x14ac:dyDescent="0.2">
      <c r="A8" s="20">
        <v>3</v>
      </c>
      <c r="B8" s="34" t="s">
        <v>69</v>
      </c>
      <c r="C8" s="20">
        <v>654</v>
      </c>
      <c r="D8" s="20">
        <v>15.3</v>
      </c>
    </row>
    <row r="9" spans="1:12" ht="22.5" customHeight="1" x14ac:dyDescent="0.2">
      <c r="A9" s="20">
        <v>4</v>
      </c>
      <c r="B9" s="34" t="s">
        <v>70</v>
      </c>
      <c r="C9" s="20">
        <v>657</v>
      </c>
      <c r="D9" s="20">
        <v>15.3</v>
      </c>
    </row>
    <row r="10" spans="1:12" ht="22.5" customHeight="1" x14ac:dyDescent="0.2">
      <c r="A10" s="34"/>
      <c r="B10" s="37" t="s">
        <v>47</v>
      </c>
      <c r="C10" s="37">
        <f t="shared" ref="C10:D10" si="0">SUM(C6:C9)</f>
        <v>4280</v>
      </c>
      <c r="D10" s="37">
        <f t="shared" si="0"/>
        <v>100</v>
      </c>
      <c r="H10" s="38" t="s">
        <v>123</v>
      </c>
      <c r="I10" s="14" t="s">
        <v>115</v>
      </c>
      <c r="J10" s="14" t="s">
        <v>118</v>
      </c>
      <c r="K10" s="14" t="s">
        <v>116</v>
      </c>
      <c r="L10" s="38" t="s">
        <v>119</v>
      </c>
    </row>
    <row r="11" spans="1:12" ht="22.5" customHeight="1" x14ac:dyDescent="0.2">
      <c r="H11" s="34"/>
      <c r="I11" s="34" t="s">
        <v>124</v>
      </c>
      <c r="J11" s="20">
        <v>53.6</v>
      </c>
      <c r="K11" s="35">
        <v>2293</v>
      </c>
      <c r="L11" s="20">
        <v>4280</v>
      </c>
    </row>
    <row r="12" spans="1:12" ht="22.5" customHeight="1" x14ac:dyDescent="0.2">
      <c r="H12" s="34"/>
      <c r="I12" s="20" t="s">
        <v>125</v>
      </c>
      <c r="J12" s="20">
        <v>13.7</v>
      </c>
      <c r="K12" s="20">
        <v>587</v>
      </c>
      <c r="L12" s="20">
        <v>4280</v>
      </c>
    </row>
    <row r="13" spans="1:12" ht="22.5" customHeight="1" x14ac:dyDescent="0.2">
      <c r="H13" s="34"/>
      <c r="I13" s="20" t="s">
        <v>126</v>
      </c>
      <c r="J13" s="20">
        <v>24.6</v>
      </c>
      <c r="K13" s="35">
        <v>1051</v>
      </c>
      <c r="L13" s="20">
        <v>4280</v>
      </c>
    </row>
    <row r="14" spans="1:12" ht="22.5" customHeight="1" x14ac:dyDescent="0.2">
      <c r="A14" s="30" t="s">
        <v>127</v>
      </c>
      <c r="H14" s="34"/>
      <c r="I14" s="20" t="s">
        <v>128</v>
      </c>
      <c r="J14" s="20">
        <v>0.3</v>
      </c>
      <c r="K14" s="20">
        <v>14</v>
      </c>
      <c r="L14" s="20">
        <v>4280</v>
      </c>
    </row>
    <row r="15" spans="1:12" ht="22.5" customHeight="1" x14ac:dyDescent="0.2">
      <c r="A15" s="39"/>
      <c r="B15" s="31"/>
      <c r="C15" s="31"/>
      <c r="D15" s="31"/>
      <c r="H15" s="34"/>
      <c r="I15" s="20" t="s">
        <v>129</v>
      </c>
      <c r="J15" s="20">
        <v>0.7</v>
      </c>
      <c r="K15" s="20">
        <v>31</v>
      </c>
      <c r="L15" s="20">
        <v>4280</v>
      </c>
    </row>
    <row r="16" spans="1:12" ht="22.5" customHeight="1" x14ac:dyDescent="0.2">
      <c r="A16" s="33" t="s">
        <v>114</v>
      </c>
      <c r="B16" s="32" t="s">
        <v>115</v>
      </c>
      <c r="C16" s="32" t="s">
        <v>116</v>
      </c>
      <c r="D16" s="32" t="s">
        <v>117</v>
      </c>
      <c r="E16" s="32" t="s">
        <v>8</v>
      </c>
      <c r="H16" s="34"/>
      <c r="I16" s="20" t="s">
        <v>130</v>
      </c>
      <c r="J16" s="20">
        <v>2.2000000000000002</v>
      </c>
      <c r="K16" s="20">
        <v>94</v>
      </c>
      <c r="L16" s="20">
        <v>4280</v>
      </c>
    </row>
    <row r="17" spans="1:13" ht="22.5" customHeight="1" x14ac:dyDescent="0.2">
      <c r="A17" s="20">
        <v>1</v>
      </c>
      <c r="B17" s="34" t="s">
        <v>131</v>
      </c>
      <c r="C17" s="20">
        <v>2711</v>
      </c>
      <c r="D17" s="20">
        <v>63.3</v>
      </c>
      <c r="E17" s="36"/>
      <c r="H17" s="34"/>
      <c r="I17" s="20" t="s">
        <v>132</v>
      </c>
      <c r="J17" s="20">
        <v>0</v>
      </c>
      <c r="K17" s="20">
        <v>1</v>
      </c>
      <c r="L17" s="20">
        <v>4280</v>
      </c>
    </row>
    <row r="18" spans="1:13" ht="22.5" customHeight="1" x14ac:dyDescent="0.2">
      <c r="A18" s="20">
        <v>2</v>
      </c>
      <c r="B18" s="34" t="s">
        <v>133</v>
      </c>
      <c r="C18" s="20">
        <v>1547</v>
      </c>
      <c r="D18" s="20">
        <v>36.200000000000003</v>
      </c>
      <c r="E18" s="36"/>
      <c r="H18" s="34"/>
      <c r="I18" s="20" t="s">
        <v>134</v>
      </c>
      <c r="J18" s="20">
        <v>4.8</v>
      </c>
      <c r="K18" s="20">
        <v>205</v>
      </c>
      <c r="L18" s="20">
        <v>4280</v>
      </c>
    </row>
    <row r="19" spans="1:13" ht="22.5" customHeight="1" x14ac:dyDescent="0.2">
      <c r="A19" s="40"/>
      <c r="B19" s="41" t="s">
        <v>135</v>
      </c>
      <c r="C19" s="41">
        <v>22</v>
      </c>
      <c r="D19" s="41">
        <v>0.5</v>
      </c>
      <c r="E19" s="42" t="s">
        <v>136</v>
      </c>
      <c r="H19" s="34"/>
      <c r="I19" s="20" t="s">
        <v>137</v>
      </c>
      <c r="J19" s="20">
        <v>0.1</v>
      </c>
      <c r="K19" s="20">
        <v>4</v>
      </c>
      <c r="L19" s="20">
        <v>4280</v>
      </c>
    </row>
    <row r="20" spans="1:13" ht="22.5" customHeight="1" x14ac:dyDescent="0.2">
      <c r="A20" s="34"/>
      <c r="B20" s="34" t="s">
        <v>47</v>
      </c>
      <c r="C20" s="34">
        <f t="shared" ref="C20:D20" si="1">SUM(C17:C19)</f>
        <v>4280</v>
      </c>
      <c r="D20" s="34">
        <f t="shared" si="1"/>
        <v>100</v>
      </c>
      <c r="E20" s="16"/>
    </row>
    <row r="22" spans="1:13" ht="22.5" customHeight="1" x14ac:dyDescent="0.2">
      <c r="G22" s="33" t="s">
        <v>138</v>
      </c>
      <c r="H22" s="32" t="s">
        <v>139</v>
      </c>
      <c r="I22" s="1" t="s">
        <v>140</v>
      </c>
      <c r="J22" s="1" t="s">
        <v>141</v>
      </c>
      <c r="K22" s="1" t="s">
        <v>142</v>
      </c>
      <c r="L22" s="1" t="s">
        <v>143</v>
      </c>
      <c r="M22" s="30"/>
    </row>
    <row r="23" spans="1:13" ht="22.5" customHeight="1" x14ac:dyDescent="0.2">
      <c r="A23" s="33" t="s">
        <v>114</v>
      </c>
      <c r="B23" s="32" t="s">
        <v>115</v>
      </c>
      <c r="C23" s="32" t="s">
        <v>116</v>
      </c>
      <c r="D23" s="32" t="s">
        <v>117</v>
      </c>
      <c r="G23" s="34"/>
      <c r="H23" s="20" t="s">
        <v>144</v>
      </c>
      <c r="I23" s="4">
        <v>4.04</v>
      </c>
      <c r="J23" s="4">
        <v>2.0499999999999998</v>
      </c>
      <c r="K23" s="43">
        <v>0</v>
      </c>
      <c r="L23" s="4">
        <v>15</v>
      </c>
      <c r="M23" s="39" t="s">
        <v>145</v>
      </c>
    </row>
    <row r="24" spans="1:13" ht="22.5" customHeight="1" x14ac:dyDescent="0.2">
      <c r="A24" s="34">
        <v>1</v>
      </c>
      <c r="B24" s="20" t="s">
        <v>146</v>
      </c>
      <c r="C24" s="20">
        <v>3045</v>
      </c>
      <c r="D24" s="20">
        <v>71.099999999999994</v>
      </c>
    </row>
    <row r="25" spans="1:13" ht="22.5" customHeight="1" x14ac:dyDescent="0.2">
      <c r="A25" s="34">
        <v>2</v>
      </c>
      <c r="B25" s="20" t="s">
        <v>2</v>
      </c>
      <c r="C25" s="20">
        <v>1235</v>
      </c>
      <c r="D25" s="20">
        <v>28.9</v>
      </c>
    </row>
    <row r="26" spans="1:13" ht="22.5" customHeight="1" x14ac:dyDescent="0.2">
      <c r="A26" s="34"/>
      <c r="B26" s="37" t="s">
        <v>47</v>
      </c>
      <c r="C26" s="37">
        <f t="shared" ref="C26:D26" si="2">SUM(C24:C25)</f>
        <v>4280</v>
      </c>
      <c r="D26" s="37">
        <f t="shared" si="2"/>
        <v>100</v>
      </c>
      <c r="G26" s="33" t="s">
        <v>147</v>
      </c>
      <c r="H26" s="32" t="s">
        <v>139</v>
      </c>
      <c r="I26" s="1" t="s">
        <v>115</v>
      </c>
      <c r="J26" s="1" t="s">
        <v>116</v>
      </c>
      <c r="K26" s="1" t="s">
        <v>118</v>
      </c>
      <c r="L26" s="1" t="s">
        <v>119</v>
      </c>
    </row>
    <row r="27" spans="1:13" ht="22.5" customHeight="1" x14ac:dyDescent="0.2">
      <c r="G27" s="34"/>
      <c r="H27" s="34" t="s">
        <v>148</v>
      </c>
      <c r="I27" s="4" t="s">
        <v>149</v>
      </c>
      <c r="J27" s="10">
        <v>3556</v>
      </c>
      <c r="K27" s="35">
        <v>83.1</v>
      </c>
      <c r="L27" s="35">
        <v>4280</v>
      </c>
    </row>
    <row r="28" spans="1:13" ht="22.5" customHeight="1" x14ac:dyDescent="0.2">
      <c r="G28" s="34"/>
      <c r="H28" s="34"/>
      <c r="I28" s="4" t="s">
        <v>150</v>
      </c>
      <c r="J28" s="4">
        <v>724</v>
      </c>
      <c r="K28" s="35">
        <v>16.899999999999999</v>
      </c>
      <c r="L28" s="35">
        <v>4280</v>
      </c>
    </row>
    <row r="29" spans="1:13" ht="12.75" x14ac:dyDescent="0.2">
      <c r="A29" s="30"/>
    </row>
    <row r="30" spans="1:13" ht="12.75" x14ac:dyDescent="0.2">
      <c r="A30" s="31"/>
      <c r="B30" s="31"/>
      <c r="C30" s="31"/>
      <c r="D30" s="31"/>
      <c r="G30" s="39"/>
      <c r="H30" s="44"/>
      <c r="I30" s="2"/>
      <c r="J30" s="2"/>
      <c r="K30" s="2"/>
      <c r="L30" s="2"/>
    </row>
    <row r="31" spans="1:13" ht="22.5" customHeight="1" x14ac:dyDescent="0.2">
      <c r="A31" s="32" t="s">
        <v>114</v>
      </c>
      <c r="B31" s="32" t="s">
        <v>151</v>
      </c>
      <c r="C31" s="32" t="s">
        <v>116</v>
      </c>
      <c r="D31" s="32" t="s">
        <v>117</v>
      </c>
      <c r="G31" s="33" t="s">
        <v>152</v>
      </c>
      <c r="H31" s="32" t="s">
        <v>139</v>
      </c>
      <c r="I31" s="1" t="s">
        <v>115</v>
      </c>
      <c r="J31" s="1" t="s">
        <v>116</v>
      </c>
      <c r="K31" s="1" t="s">
        <v>118</v>
      </c>
      <c r="L31" s="1" t="s">
        <v>119</v>
      </c>
    </row>
    <row r="32" spans="1:13" ht="22.5" customHeight="1" x14ac:dyDescent="0.2">
      <c r="A32" s="20">
        <v>1</v>
      </c>
      <c r="B32" s="20" t="s">
        <v>11</v>
      </c>
      <c r="C32" s="20">
        <v>644</v>
      </c>
      <c r="D32" s="20">
        <v>15</v>
      </c>
      <c r="G32" s="34"/>
      <c r="H32" s="34" t="s">
        <v>153</v>
      </c>
      <c r="I32" s="4" t="s">
        <v>154</v>
      </c>
      <c r="J32" s="10">
        <v>1106</v>
      </c>
      <c r="K32" s="35">
        <v>25.8</v>
      </c>
      <c r="L32" s="35">
        <v>4280</v>
      </c>
    </row>
    <row r="33" spans="1:12" ht="22.5" customHeight="1" x14ac:dyDescent="0.2">
      <c r="A33" s="20">
        <v>2</v>
      </c>
      <c r="B33" s="20" t="s">
        <v>18</v>
      </c>
      <c r="C33" s="20">
        <v>504</v>
      </c>
      <c r="D33" s="20">
        <v>11.8</v>
      </c>
      <c r="G33" s="34"/>
      <c r="H33" s="34"/>
      <c r="I33" s="4" t="s">
        <v>155</v>
      </c>
      <c r="J33" s="10">
        <v>1987</v>
      </c>
      <c r="K33" s="35">
        <v>46.4</v>
      </c>
      <c r="L33" s="35">
        <v>4280</v>
      </c>
    </row>
    <row r="34" spans="1:12" ht="22.5" customHeight="1" x14ac:dyDescent="0.2">
      <c r="A34" s="20">
        <v>3</v>
      </c>
      <c r="B34" s="20" t="s">
        <v>23</v>
      </c>
      <c r="C34" s="20">
        <v>1339</v>
      </c>
      <c r="D34" s="20">
        <v>31.3</v>
      </c>
      <c r="G34" s="34"/>
      <c r="H34" s="34"/>
      <c r="I34" s="4" t="s">
        <v>156</v>
      </c>
      <c r="J34" s="4">
        <v>950</v>
      </c>
      <c r="K34" s="35">
        <v>22.2</v>
      </c>
      <c r="L34" s="35">
        <v>4280</v>
      </c>
    </row>
    <row r="35" spans="1:12" ht="22.5" customHeight="1" x14ac:dyDescent="0.2">
      <c r="A35" s="20">
        <v>4</v>
      </c>
      <c r="B35" s="20" t="s">
        <v>28</v>
      </c>
      <c r="C35" s="20">
        <v>466</v>
      </c>
      <c r="D35" s="20">
        <v>10.9</v>
      </c>
      <c r="G35" s="34"/>
      <c r="H35" s="34"/>
      <c r="I35" s="4" t="s">
        <v>157</v>
      </c>
      <c r="J35" s="4">
        <v>235</v>
      </c>
      <c r="K35" s="35">
        <v>5.5</v>
      </c>
      <c r="L35" s="35">
        <v>4280</v>
      </c>
    </row>
    <row r="36" spans="1:12" ht="22.5" customHeight="1" x14ac:dyDescent="0.2">
      <c r="A36" s="20">
        <v>5</v>
      </c>
      <c r="B36" s="20" t="s">
        <v>33</v>
      </c>
      <c r="C36" s="20">
        <v>550</v>
      </c>
      <c r="D36" s="20">
        <v>12.9</v>
      </c>
      <c r="G36" s="34"/>
      <c r="H36" s="34"/>
      <c r="I36" s="4" t="s">
        <v>158</v>
      </c>
      <c r="J36" s="4">
        <v>2</v>
      </c>
      <c r="K36" s="35">
        <v>0</v>
      </c>
      <c r="L36" s="35">
        <v>4280</v>
      </c>
    </row>
    <row r="37" spans="1:12" ht="22.5" customHeight="1" x14ac:dyDescent="0.2">
      <c r="A37" s="20">
        <v>6</v>
      </c>
      <c r="B37" s="20" t="s">
        <v>38</v>
      </c>
      <c r="C37" s="20">
        <v>366</v>
      </c>
      <c r="D37" s="20">
        <v>8.6</v>
      </c>
    </row>
    <row r="38" spans="1:12" ht="22.5" customHeight="1" x14ac:dyDescent="0.2">
      <c r="A38" s="20">
        <v>7</v>
      </c>
      <c r="B38" s="20" t="s">
        <v>42</v>
      </c>
      <c r="C38" s="20">
        <v>411</v>
      </c>
      <c r="D38" s="20">
        <v>9.5</v>
      </c>
    </row>
    <row r="39" spans="1:12" ht="22.5" customHeight="1" x14ac:dyDescent="0.2">
      <c r="A39" s="34"/>
      <c r="B39" s="37" t="s">
        <v>47</v>
      </c>
      <c r="C39" s="37">
        <f t="shared" ref="C39:D39" si="3">SUM(C32:C38)</f>
        <v>4280</v>
      </c>
      <c r="D39" s="37">
        <f t="shared" si="3"/>
        <v>100</v>
      </c>
      <c r="G39" s="33" t="s">
        <v>159</v>
      </c>
      <c r="H39" s="32" t="s">
        <v>139</v>
      </c>
      <c r="I39" s="1" t="s">
        <v>115</v>
      </c>
      <c r="J39" s="1" t="s">
        <v>116</v>
      </c>
      <c r="K39" s="1" t="s">
        <v>118</v>
      </c>
      <c r="L39" s="1" t="s">
        <v>119</v>
      </c>
    </row>
    <row r="40" spans="1:12" ht="22.5" customHeight="1" x14ac:dyDescent="0.2">
      <c r="G40" s="34"/>
      <c r="H40" s="34" t="s">
        <v>160</v>
      </c>
      <c r="I40" s="4" t="s">
        <v>154</v>
      </c>
      <c r="J40" s="10">
        <v>854</v>
      </c>
      <c r="K40" s="35">
        <v>20</v>
      </c>
      <c r="L40" s="35">
        <v>4280</v>
      </c>
    </row>
    <row r="41" spans="1:12" ht="22.5" customHeight="1" x14ac:dyDescent="0.2">
      <c r="G41" s="34"/>
      <c r="H41" s="34"/>
      <c r="I41" s="4" t="s">
        <v>155</v>
      </c>
      <c r="J41" s="10">
        <v>3117</v>
      </c>
      <c r="K41" s="35">
        <v>72.8</v>
      </c>
      <c r="L41" s="35">
        <v>4280</v>
      </c>
    </row>
    <row r="42" spans="1:12" ht="22.5" customHeight="1" x14ac:dyDescent="0.2">
      <c r="G42" s="34"/>
      <c r="H42" s="34"/>
      <c r="I42" s="4" t="s">
        <v>161</v>
      </c>
      <c r="J42" s="4">
        <v>266</v>
      </c>
      <c r="K42" s="35">
        <v>6.2</v>
      </c>
      <c r="L42" s="35">
        <v>4280</v>
      </c>
    </row>
    <row r="43" spans="1:12" ht="22.5" customHeight="1" x14ac:dyDescent="0.2">
      <c r="G43" s="34"/>
      <c r="H43" s="34"/>
      <c r="I43" s="4" t="s">
        <v>162</v>
      </c>
      <c r="J43" s="4">
        <v>10</v>
      </c>
      <c r="K43" s="35">
        <v>0.2</v>
      </c>
      <c r="L43" s="35">
        <v>4280</v>
      </c>
    </row>
    <row r="44" spans="1:12" ht="22.5" customHeight="1" x14ac:dyDescent="0.2">
      <c r="A44" s="30"/>
      <c r="G44" s="34"/>
      <c r="H44" s="34"/>
      <c r="I44" s="4" t="s">
        <v>163</v>
      </c>
      <c r="J44" s="4">
        <v>5</v>
      </c>
      <c r="K44" s="35">
        <v>0.1</v>
      </c>
      <c r="L44" s="35">
        <v>4280</v>
      </c>
    </row>
    <row r="45" spans="1:12" ht="22.5" customHeight="1" x14ac:dyDescent="0.2">
      <c r="A45" s="39"/>
      <c r="B45" s="31"/>
      <c r="C45" s="31"/>
      <c r="D45" s="31"/>
      <c r="E45" s="45"/>
      <c r="G45" s="34"/>
      <c r="H45" s="34"/>
      <c r="I45" s="4" t="s">
        <v>164</v>
      </c>
      <c r="J45" s="4">
        <v>27</v>
      </c>
      <c r="K45" s="35">
        <v>0.6</v>
      </c>
      <c r="L45" s="35">
        <v>4280</v>
      </c>
    </row>
    <row r="46" spans="1:12" ht="22.5" customHeight="1" x14ac:dyDescent="0.2">
      <c r="A46" s="33" t="s">
        <v>114</v>
      </c>
      <c r="B46" s="32" t="s">
        <v>115</v>
      </c>
      <c r="C46" s="32" t="s">
        <v>116</v>
      </c>
      <c r="D46" s="32" t="s">
        <v>117</v>
      </c>
      <c r="E46" s="45"/>
      <c r="G46" s="34"/>
      <c r="H46" s="34"/>
      <c r="I46" s="4" t="s">
        <v>165</v>
      </c>
      <c r="J46" s="4">
        <v>1</v>
      </c>
      <c r="K46" s="35">
        <v>0</v>
      </c>
      <c r="L46" s="35">
        <v>4280</v>
      </c>
    </row>
    <row r="47" spans="1:12" ht="22.5" customHeight="1" x14ac:dyDescent="0.2">
      <c r="A47" s="20">
        <v>1</v>
      </c>
      <c r="B47" s="34" t="s">
        <v>166</v>
      </c>
      <c r="C47" s="20">
        <v>1233</v>
      </c>
      <c r="D47" s="46">
        <v>28.8</v>
      </c>
    </row>
    <row r="48" spans="1:12" ht="22.5" customHeight="1" x14ac:dyDescent="0.2">
      <c r="A48" s="20">
        <v>2</v>
      </c>
      <c r="B48" s="34" t="s">
        <v>167</v>
      </c>
      <c r="C48" s="20">
        <v>79</v>
      </c>
      <c r="D48" s="46">
        <v>1.8</v>
      </c>
      <c r="E48" s="30"/>
      <c r="G48" s="33" t="s">
        <v>168</v>
      </c>
      <c r="H48" s="32" t="s">
        <v>139</v>
      </c>
      <c r="I48" s="1" t="s">
        <v>115</v>
      </c>
      <c r="J48" s="1" t="s">
        <v>116</v>
      </c>
      <c r="K48" s="1" t="s">
        <v>118</v>
      </c>
      <c r="L48" s="1" t="s">
        <v>119</v>
      </c>
    </row>
    <row r="49" spans="1:12" ht="22.5" customHeight="1" x14ac:dyDescent="0.2">
      <c r="A49" s="20">
        <v>3</v>
      </c>
      <c r="B49" s="34" t="s">
        <v>169</v>
      </c>
      <c r="C49" s="20">
        <v>60</v>
      </c>
      <c r="D49" s="20">
        <v>1.4</v>
      </c>
      <c r="G49" s="34"/>
      <c r="H49" s="34" t="s">
        <v>170</v>
      </c>
      <c r="I49" s="4" t="s">
        <v>171</v>
      </c>
      <c r="J49" s="4">
        <v>16</v>
      </c>
      <c r="K49" s="35">
        <v>0.4</v>
      </c>
      <c r="L49" s="35">
        <v>4280</v>
      </c>
    </row>
    <row r="50" spans="1:12" ht="22.5" customHeight="1" x14ac:dyDescent="0.2">
      <c r="A50" s="20">
        <v>4</v>
      </c>
      <c r="B50" s="34" t="s">
        <v>172</v>
      </c>
      <c r="C50" s="20">
        <v>6</v>
      </c>
      <c r="D50" s="20">
        <v>0.1</v>
      </c>
      <c r="G50" s="34"/>
      <c r="H50" s="34"/>
      <c r="I50" s="4" t="s">
        <v>173</v>
      </c>
      <c r="J50" s="10">
        <v>3110</v>
      </c>
      <c r="K50" s="35">
        <v>72.7</v>
      </c>
      <c r="L50" s="35">
        <v>4280</v>
      </c>
    </row>
    <row r="51" spans="1:12" ht="22.5" customHeight="1" x14ac:dyDescent="0.2">
      <c r="A51" s="20">
        <v>5</v>
      </c>
      <c r="B51" s="34" t="s">
        <v>174</v>
      </c>
      <c r="C51" s="20">
        <v>1</v>
      </c>
      <c r="D51" s="20">
        <v>0</v>
      </c>
      <c r="E51" s="30"/>
      <c r="G51" s="34"/>
      <c r="H51" s="34"/>
      <c r="I51" s="4" t="s">
        <v>175</v>
      </c>
      <c r="J51" s="4">
        <v>3</v>
      </c>
      <c r="K51" s="35">
        <v>0.1</v>
      </c>
      <c r="L51" s="35">
        <v>4280</v>
      </c>
    </row>
    <row r="52" spans="1:12" ht="22.5" customHeight="1" x14ac:dyDescent="0.2">
      <c r="A52" s="20">
        <v>6</v>
      </c>
      <c r="B52" s="34" t="s">
        <v>176</v>
      </c>
      <c r="C52" s="20">
        <v>39</v>
      </c>
      <c r="D52" s="20">
        <v>0.9</v>
      </c>
      <c r="G52" s="34"/>
      <c r="H52" s="34"/>
      <c r="I52" s="4" t="s">
        <v>177</v>
      </c>
      <c r="J52" s="4">
        <v>40</v>
      </c>
      <c r="K52" s="35">
        <v>0.9</v>
      </c>
      <c r="L52" s="35">
        <v>4280</v>
      </c>
    </row>
    <row r="53" spans="1:12" ht="22.5" customHeight="1" x14ac:dyDescent="0.2">
      <c r="A53" s="20">
        <v>7</v>
      </c>
      <c r="B53" s="34" t="s">
        <v>178</v>
      </c>
      <c r="C53" s="20">
        <v>1</v>
      </c>
      <c r="D53" s="20">
        <v>0</v>
      </c>
      <c r="G53" s="34"/>
      <c r="H53" s="34"/>
      <c r="I53" s="4" t="s">
        <v>179</v>
      </c>
      <c r="J53" s="10">
        <v>1110</v>
      </c>
      <c r="K53" s="35">
        <v>25.9</v>
      </c>
      <c r="L53" s="35">
        <v>4280</v>
      </c>
    </row>
    <row r="54" spans="1:12" ht="22.5" customHeight="1" x14ac:dyDescent="0.2">
      <c r="A54" s="20">
        <v>8</v>
      </c>
      <c r="B54" s="34" t="s">
        <v>180</v>
      </c>
      <c r="C54" s="20">
        <v>14</v>
      </c>
      <c r="D54" s="20">
        <v>0.3</v>
      </c>
      <c r="G54" s="34"/>
      <c r="H54" s="34"/>
      <c r="I54" s="47" t="s">
        <v>181</v>
      </c>
      <c r="J54" s="34">
        <v>0</v>
      </c>
      <c r="K54" s="48">
        <v>0</v>
      </c>
      <c r="L54" s="35">
        <v>4280</v>
      </c>
    </row>
    <row r="55" spans="1:12" ht="22.5" customHeight="1" x14ac:dyDescent="0.2">
      <c r="A55" s="20" t="s">
        <v>135</v>
      </c>
      <c r="B55" s="34"/>
      <c r="C55" s="20">
        <v>2847</v>
      </c>
      <c r="D55" s="20">
        <v>66.7</v>
      </c>
      <c r="E55" s="39" t="s">
        <v>182</v>
      </c>
      <c r="G55" s="34"/>
      <c r="H55" s="34"/>
      <c r="I55" s="4" t="s">
        <v>165</v>
      </c>
      <c r="J55" s="4">
        <v>1</v>
      </c>
      <c r="K55" s="35">
        <v>0</v>
      </c>
      <c r="L55" s="35">
        <v>4280</v>
      </c>
    </row>
    <row r="56" spans="1:12" ht="22.5" customHeight="1" x14ac:dyDescent="0.2">
      <c r="A56" s="34"/>
      <c r="B56" s="37" t="s">
        <v>47</v>
      </c>
      <c r="C56" s="37">
        <f t="shared" ref="C56:D56" si="4">SUM(C47:C55)</f>
        <v>4280</v>
      </c>
      <c r="D56" s="37">
        <f t="shared" si="4"/>
        <v>100</v>
      </c>
      <c r="E56" s="30"/>
    </row>
    <row r="57" spans="1:12" ht="22.5" customHeight="1" x14ac:dyDescent="0.2">
      <c r="B57" s="49" t="s">
        <v>183</v>
      </c>
      <c r="C57" s="49">
        <v>51</v>
      </c>
      <c r="G57" s="33" t="s">
        <v>184</v>
      </c>
      <c r="H57" s="32" t="s">
        <v>139</v>
      </c>
      <c r="I57" s="1" t="s">
        <v>115</v>
      </c>
      <c r="J57" s="1" t="s">
        <v>116</v>
      </c>
      <c r="K57" s="1" t="s">
        <v>118</v>
      </c>
      <c r="L57" s="1" t="s">
        <v>119</v>
      </c>
    </row>
    <row r="58" spans="1:12" ht="22.5" customHeight="1" x14ac:dyDescent="0.2">
      <c r="A58" s="39" t="s">
        <v>185</v>
      </c>
      <c r="G58" s="34"/>
      <c r="H58" s="34" t="s">
        <v>186</v>
      </c>
      <c r="I58" s="4" t="s">
        <v>187</v>
      </c>
      <c r="J58" s="10">
        <v>1108</v>
      </c>
      <c r="K58" s="35">
        <v>25.9</v>
      </c>
      <c r="L58" s="35">
        <v>4280</v>
      </c>
    </row>
    <row r="59" spans="1:12" ht="22.5" customHeight="1" x14ac:dyDescent="0.2">
      <c r="A59" s="39"/>
      <c r="B59" s="31"/>
      <c r="C59" s="31"/>
      <c r="D59" s="31"/>
      <c r="G59" s="34"/>
      <c r="H59" s="34"/>
      <c r="I59" s="4" t="s">
        <v>188</v>
      </c>
      <c r="J59" s="10">
        <v>3126</v>
      </c>
      <c r="K59" s="35">
        <v>73</v>
      </c>
      <c r="L59" s="35">
        <v>4280</v>
      </c>
    </row>
    <row r="60" spans="1:12" ht="22.5" customHeight="1" x14ac:dyDescent="0.2">
      <c r="A60" s="33" t="s">
        <v>114</v>
      </c>
      <c r="B60" s="32" t="s">
        <v>115</v>
      </c>
      <c r="C60" s="32" t="s">
        <v>116</v>
      </c>
      <c r="D60" s="32" t="s">
        <v>117</v>
      </c>
      <c r="G60" s="34"/>
      <c r="H60" s="34"/>
      <c r="I60" s="4" t="s">
        <v>189</v>
      </c>
      <c r="J60" s="4">
        <v>44</v>
      </c>
      <c r="K60" s="35">
        <v>1</v>
      </c>
      <c r="L60" s="35">
        <v>4280</v>
      </c>
    </row>
    <row r="61" spans="1:12" ht="22.5" customHeight="1" x14ac:dyDescent="0.2">
      <c r="A61" s="20">
        <v>1</v>
      </c>
      <c r="B61" s="34" t="s">
        <v>190</v>
      </c>
      <c r="C61" s="20">
        <v>844</v>
      </c>
      <c r="D61" s="20">
        <v>19.7</v>
      </c>
      <c r="G61" s="34"/>
      <c r="H61" s="34"/>
      <c r="I61" s="4" t="s">
        <v>191</v>
      </c>
      <c r="J61" s="34">
        <v>0</v>
      </c>
      <c r="K61" s="48">
        <v>0</v>
      </c>
      <c r="L61" s="35">
        <v>4280</v>
      </c>
    </row>
    <row r="62" spans="1:12" ht="22.5" customHeight="1" x14ac:dyDescent="0.2">
      <c r="A62" s="20">
        <v>2</v>
      </c>
      <c r="B62" s="34" t="s">
        <v>192</v>
      </c>
      <c r="C62" s="20">
        <v>409</v>
      </c>
      <c r="D62" s="20">
        <v>9.6</v>
      </c>
      <c r="G62" s="34"/>
      <c r="H62" s="34"/>
      <c r="I62" s="4" t="s">
        <v>193</v>
      </c>
      <c r="J62" s="4">
        <v>2</v>
      </c>
      <c r="K62" s="35">
        <v>0</v>
      </c>
      <c r="L62" s="35">
        <v>4280</v>
      </c>
    </row>
    <row r="63" spans="1:12" ht="22.5" customHeight="1" x14ac:dyDescent="0.2">
      <c r="A63" s="20">
        <v>3</v>
      </c>
      <c r="B63" s="34" t="s">
        <v>194</v>
      </c>
      <c r="C63" s="20">
        <v>1792</v>
      </c>
      <c r="D63" s="20">
        <v>41.9</v>
      </c>
      <c r="G63" s="34"/>
      <c r="H63" s="34"/>
      <c r="I63" s="4" t="s">
        <v>158</v>
      </c>
      <c r="J63" s="4">
        <v>0</v>
      </c>
      <c r="K63" s="35">
        <v>0</v>
      </c>
      <c r="L63" s="35">
        <v>4280</v>
      </c>
    </row>
    <row r="64" spans="1:12" ht="22.5" customHeight="1" x14ac:dyDescent="0.2">
      <c r="A64" s="20">
        <v>4</v>
      </c>
      <c r="B64" s="34" t="s">
        <v>195</v>
      </c>
      <c r="C64" s="20">
        <v>1235</v>
      </c>
      <c r="D64" s="20">
        <v>28.8</v>
      </c>
    </row>
    <row r="65" spans="1:13" ht="22.5" customHeight="1" x14ac:dyDescent="0.2">
      <c r="A65" s="34"/>
      <c r="B65" s="37" t="s">
        <v>47</v>
      </c>
      <c r="C65" s="37">
        <f t="shared" ref="C65:D65" si="5">SUM(C61:C64)</f>
        <v>4280</v>
      </c>
      <c r="D65" s="37">
        <f t="shared" si="5"/>
        <v>99.999999999999986</v>
      </c>
      <c r="G65" s="32" t="s">
        <v>196</v>
      </c>
      <c r="H65" s="33" t="s">
        <v>8</v>
      </c>
      <c r="I65" s="33" t="s">
        <v>197</v>
      </c>
      <c r="J65" s="32" t="s">
        <v>198</v>
      </c>
      <c r="K65" s="32" t="s">
        <v>199</v>
      </c>
      <c r="L65" s="32" t="s">
        <v>142</v>
      </c>
      <c r="M65" s="32" t="s">
        <v>143</v>
      </c>
    </row>
    <row r="66" spans="1:13" ht="22.5" customHeight="1" x14ac:dyDescent="0.2">
      <c r="G66" s="20" t="s">
        <v>200</v>
      </c>
      <c r="H66" s="34" t="s">
        <v>201</v>
      </c>
      <c r="I66" s="37" t="s">
        <v>202</v>
      </c>
      <c r="J66" s="20">
        <v>780</v>
      </c>
      <c r="K66" s="20" t="s">
        <v>203</v>
      </c>
      <c r="L66" s="20">
        <v>0</v>
      </c>
      <c r="M66" s="35">
        <v>100000</v>
      </c>
    </row>
    <row r="67" spans="1:13" ht="22.5" customHeight="1" x14ac:dyDescent="0.2">
      <c r="G67" s="20" t="s">
        <v>204</v>
      </c>
      <c r="H67" s="34" t="s">
        <v>205</v>
      </c>
      <c r="I67" s="34" t="s">
        <v>206</v>
      </c>
      <c r="J67" s="35">
        <v>3350</v>
      </c>
      <c r="K67" s="20" t="s">
        <v>207</v>
      </c>
      <c r="L67" s="20">
        <v>0</v>
      </c>
      <c r="M67" s="35">
        <v>73000</v>
      </c>
    </row>
    <row r="68" spans="1:13" ht="22.5" customHeight="1" x14ac:dyDescent="0.2">
      <c r="A68" s="32" t="s">
        <v>208</v>
      </c>
      <c r="B68" s="32" t="s">
        <v>116</v>
      </c>
      <c r="C68" s="32" t="s">
        <v>117</v>
      </c>
      <c r="G68" s="20" t="s">
        <v>209</v>
      </c>
      <c r="H68" s="34" t="s">
        <v>210</v>
      </c>
      <c r="I68" s="34" t="s">
        <v>206</v>
      </c>
      <c r="J68" s="35">
        <v>1447</v>
      </c>
      <c r="K68" s="20" t="s">
        <v>211</v>
      </c>
      <c r="L68" s="20">
        <v>0</v>
      </c>
      <c r="M68" s="35">
        <v>300000</v>
      </c>
    </row>
    <row r="69" spans="1:13" ht="22.5" customHeight="1" x14ac:dyDescent="0.2">
      <c r="A69" s="20" t="s">
        <v>212</v>
      </c>
      <c r="B69" s="20">
        <v>856</v>
      </c>
      <c r="C69" s="20">
        <v>20</v>
      </c>
      <c r="G69" s="20" t="s">
        <v>213</v>
      </c>
      <c r="H69" s="34" t="s">
        <v>214</v>
      </c>
      <c r="I69" s="34" t="s">
        <v>206</v>
      </c>
      <c r="J69" s="35">
        <v>2944</v>
      </c>
      <c r="K69" s="20" t="s">
        <v>215</v>
      </c>
      <c r="L69" s="20">
        <v>0</v>
      </c>
      <c r="M69" s="35">
        <v>90000</v>
      </c>
    </row>
    <row r="70" spans="1:13" ht="22.5" customHeight="1" x14ac:dyDescent="0.2">
      <c r="A70" s="20" t="s">
        <v>216</v>
      </c>
      <c r="B70" s="20">
        <v>856</v>
      </c>
      <c r="C70" s="20">
        <v>20</v>
      </c>
      <c r="G70" s="20" t="s">
        <v>217</v>
      </c>
      <c r="H70" s="34" t="s">
        <v>218</v>
      </c>
      <c r="I70" s="34" t="s">
        <v>206</v>
      </c>
      <c r="J70" s="20">
        <v>78</v>
      </c>
      <c r="K70" s="20" t="s">
        <v>219</v>
      </c>
      <c r="L70" s="20">
        <v>0</v>
      </c>
      <c r="M70" s="35">
        <v>25000</v>
      </c>
    </row>
    <row r="71" spans="1:13" ht="22.5" customHeight="1" x14ac:dyDescent="0.2">
      <c r="A71" s="20" t="s">
        <v>220</v>
      </c>
      <c r="B71" s="20">
        <v>856</v>
      </c>
      <c r="C71" s="20">
        <v>20</v>
      </c>
      <c r="G71" s="20" t="s">
        <v>221</v>
      </c>
      <c r="H71" s="34" t="s">
        <v>222</v>
      </c>
      <c r="I71" s="34" t="s">
        <v>206</v>
      </c>
      <c r="J71" s="35">
        <v>4103</v>
      </c>
      <c r="K71" s="20" t="s">
        <v>223</v>
      </c>
      <c r="L71" s="20">
        <v>0</v>
      </c>
      <c r="M71" s="35">
        <v>200010</v>
      </c>
    </row>
    <row r="72" spans="1:13" ht="22.5" customHeight="1" x14ac:dyDescent="0.2">
      <c r="A72" s="20" t="s">
        <v>224</v>
      </c>
      <c r="B72" s="20">
        <v>856</v>
      </c>
      <c r="C72" s="20">
        <v>20</v>
      </c>
      <c r="G72" s="20" t="s">
        <v>225</v>
      </c>
      <c r="H72" s="34" t="s">
        <v>226</v>
      </c>
      <c r="I72" s="34" t="s">
        <v>206</v>
      </c>
      <c r="J72" s="20">
        <v>792</v>
      </c>
      <c r="K72" s="20" t="s">
        <v>227</v>
      </c>
      <c r="L72" s="20">
        <v>0</v>
      </c>
      <c r="M72" s="35">
        <v>99999099</v>
      </c>
    </row>
    <row r="73" spans="1:13" ht="22.5" customHeight="1" x14ac:dyDescent="0.2">
      <c r="A73" s="20" t="s">
        <v>228</v>
      </c>
      <c r="B73" s="20">
        <v>856</v>
      </c>
      <c r="C73" s="20">
        <v>20</v>
      </c>
      <c r="G73" s="20" t="s">
        <v>229</v>
      </c>
      <c r="H73" s="34" t="s">
        <v>230</v>
      </c>
      <c r="I73" s="34" t="s">
        <v>206</v>
      </c>
      <c r="J73" s="35">
        <v>2969</v>
      </c>
      <c r="K73" s="20" t="s">
        <v>231</v>
      </c>
      <c r="L73" s="20">
        <v>0</v>
      </c>
      <c r="M73" s="35">
        <v>170000</v>
      </c>
    </row>
    <row r="76" spans="1:13" ht="22.5" customHeight="1" x14ac:dyDescent="0.2">
      <c r="G76" s="33" t="s">
        <v>232</v>
      </c>
      <c r="H76" s="33" t="s">
        <v>8</v>
      </c>
      <c r="I76" s="32" t="s">
        <v>118</v>
      </c>
      <c r="J76" s="32" t="s">
        <v>116</v>
      </c>
      <c r="K76" s="32" t="s">
        <v>233</v>
      </c>
    </row>
    <row r="77" spans="1:13" ht="22.5" customHeight="1" x14ac:dyDescent="0.2">
      <c r="G77" s="34"/>
      <c r="H77" s="34" t="s">
        <v>234</v>
      </c>
      <c r="I77" s="20">
        <v>33</v>
      </c>
      <c r="J77" s="35">
        <v>1412</v>
      </c>
      <c r="K77" s="20">
        <v>4280</v>
      </c>
    </row>
    <row r="78" spans="1:13" ht="22.5" customHeight="1" x14ac:dyDescent="0.2">
      <c r="G78" s="34"/>
      <c r="H78" s="34" t="s">
        <v>235</v>
      </c>
      <c r="I78" s="20">
        <v>65</v>
      </c>
      <c r="J78" s="35">
        <v>2781</v>
      </c>
      <c r="K78" s="20">
        <v>4280</v>
      </c>
    </row>
    <row r="79" spans="1:13" ht="22.5" customHeight="1" x14ac:dyDescent="0.2">
      <c r="G79" s="34"/>
      <c r="H79" s="34" t="s">
        <v>236</v>
      </c>
      <c r="I79" s="20">
        <v>0.6</v>
      </c>
      <c r="J79" s="20">
        <v>26</v>
      </c>
      <c r="K79" s="20">
        <v>4280</v>
      </c>
    </row>
    <row r="80" spans="1:13" ht="22.5" customHeight="1" x14ac:dyDescent="0.2">
      <c r="G80" s="34"/>
      <c r="H80" s="34" t="s">
        <v>237</v>
      </c>
      <c r="I80" s="34">
        <v>0</v>
      </c>
      <c r="J80" s="34">
        <v>0</v>
      </c>
      <c r="K80" s="20">
        <v>4280</v>
      </c>
    </row>
    <row r="81" spans="7:12" ht="22.5" customHeight="1" x14ac:dyDescent="0.2">
      <c r="G81" s="34"/>
      <c r="H81" s="34" t="s">
        <v>238</v>
      </c>
      <c r="I81" s="20">
        <v>0.5</v>
      </c>
      <c r="J81" s="20">
        <v>22</v>
      </c>
      <c r="K81" s="20">
        <v>4280</v>
      </c>
    </row>
    <row r="82" spans="7:12" ht="22.5" customHeight="1" x14ac:dyDescent="0.2">
      <c r="G82" s="34"/>
      <c r="H82" s="34" t="s">
        <v>239</v>
      </c>
      <c r="I82" s="20">
        <v>0.9</v>
      </c>
      <c r="J82" s="20">
        <v>39</v>
      </c>
      <c r="K82" s="20">
        <v>4280</v>
      </c>
    </row>
    <row r="85" spans="7:12" ht="22.5" customHeight="1" x14ac:dyDescent="0.2">
      <c r="G85" s="33" t="s">
        <v>240</v>
      </c>
      <c r="H85" s="32" t="s">
        <v>115</v>
      </c>
      <c r="I85" s="32" t="s">
        <v>118</v>
      </c>
      <c r="J85" s="32" t="s">
        <v>116</v>
      </c>
      <c r="K85" s="32" t="s">
        <v>490</v>
      </c>
    </row>
    <row r="86" spans="7:12" ht="22.5" customHeight="1" x14ac:dyDescent="0.2">
      <c r="G86" s="34"/>
      <c r="H86" s="20" t="s">
        <v>241</v>
      </c>
      <c r="I86" s="20">
        <v>95.9</v>
      </c>
      <c r="J86" s="35">
        <v>4103</v>
      </c>
      <c r="K86" s="20">
        <v>4280</v>
      </c>
    </row>
    <row r="87" spans="7:12" ht="22.5" customHeight="1" x14ac:dyDescent="0.2">
      <c r="G87" s="50"/>
      <c r="H87" s="51" t="s">
        <v>242</v>
      </c>
      <c r="I87" s="51">
        <v>4.0999999999999996</v>
      </c>
      <c r="J87" s="51">
        <v>177</v>
      </c>
      <c r="K87" s="20">
        <v>4280</v>
      </c>
    </row>
    <row r="89" spans="7:12" ht="22.5" customHeight="1" x14ac:dyDescent="0.2">
      <c r="G89" s="52" t="s">
        <v>243</v>
      </c>
      <c r="H89" s="53" t="s">
        <v>115</v>
      </c>
      <c r="I89" s="53" t="s">
        <v>118</v>
      </c>
      <c r="J89" s="53" t="s">
        <v>116</v>
      </c>
      <c r="K89" s="53" t="s">
        <v>490</v>
      </c>
    </row>
    <row r="90" spans="7:12" ht="22.5" customHeight="1" x14ac:dyDescent="0.2">
      <c r="G90" s="20"/>
      <c r="H90" s="20" t="s">
        <v>244</v>
      </c>
      <c r="I90" s="20">
        <v>18.5</v>
      </c>
      <c r="J90" s="35">
        <v>792</v>
      </c>
      <c r="K90" s="20">
        <v>4280</v>
      </c>
    </row>
    <row r="91" spans="7:12" ht="22.5" customHeight="1" x14ac:dyDescent="0.2">
      <c r="G91" s="51"/>
      <c r="H91" s="51" t="s">
        <v>245</v>
      </c>
      <c r="I91" s="51">
        <v>81.5</v>
      </c>
      <c r="J91" s="54">
        <v>3488</v>
      </c>
      <c r="K91" s="20">
        <v>4280</v>
      </c>
    </row>
    <row r="93" spans="7:12" ht="22.5" customHeight="1" x14ac:dyDescent="0.2">
      <c r="G93" s="33" t="s">
        <v>8</v>
      </c>
      <c r="H93" s="32" t="s">
        <v>115</v>
      </c>
      <c r="I93" s="32" t="s">
        <v>118</v>
      </c>
      <c r="J93" s="32" t="s">
        <v>116</v>
      </c>
      <c r="K93" s="32" t="s">
        <v>490</v>
      </c>
    </row>
    <row r="94" spans="7:12" ht="22.5" customHeight="1" x14ac:dyDescent="0.2">
      <c r="G94" s="34" t="s">
        <v>246</v>
      </c>
      <c r="H94" s="34" t="s">
        <v>247</v>
      </c>
      <c r="I94" s="20">
        <v>69.400000000000006</v>
      </c>
      <c r="J94" s="35">
        <v>2969</v>
      </c>
      <c r="K94" s="20">
        <v>4280</v>
      </c>
    </row>
    <row r="95" spans="7:12" ht="22.5" customHeight="1" x14ac:dyDescent="0.2">
      <c r="G95" s="50"/>
      <c r="H95" s="50" t="s">
        <v>248</v>
      </c>
      <c r="I95" s="51">
        <v>30.6</v>
      </c>
      <c r="J95" s="54">
        <v>1311</v>
      </c>
      <c r="K95" s="20">
        <v>4280</v>
      </c>
    </row>
    <row r="96" spans="7:12" ht="12.75" x14ac:dyDescent="0.2">
      <c r="L96" s="30"/>
    </row>
    <row r="98" spans="7:12" ht="22.5" customHeight="1" x14ac:dyDescent="0.2">
      <c r="G98" s="33" t="s">
        <v>249</v>
      </c>
      <c r="H98" s="32" t="s">
        <v>115</v>
      </c>
      <c r="I98" s="32" t="s">
        <v>118</v>
      </c>
      <c r="J98" s="32" t="s">
        <v>116</v>
      </c>
      <c r="K98" s="32" t="s">
        <v>490</v>
      </c>
    </row>
    <row r="99" spans="7:12" ht="22.5" customHeight="1" x14ac:dyDescent="0.2">
      <c r="G99" s="34"/>
      <c r="H99" s="34" t="s">
        <v>250</v>
      </c>
      <c r="I99" s="20">
        <v>41.7</v>
      </c>
      <c r="J99" s="35">
        <v>1784</v>
      </c>
      <c r="K99" s="20">
        <v>4280</v>
      </c>
    </row>
    <row r="100" spans="7:12" ht="22.5" customHeight="1" x14ac:dyDescent="0.2">
      <c r="G100" s="34"/>
      <c r="H100" s="34" t="s">
        <v>251</v>
      </c>
      <c r="I100" s="20">
        <v>1.5</v>
      </c>
      <c r="J100" s="20">
        <v>65</v>
      </c>
      <c r="K100" s="20">
        <v>4280</v>
      </c>
    </row>
    <row r="101" spans="7:12" ht="22.5" customHeight="1" x14ac:dyDescent="0.2">
      <c r="G101" s="34"/>
      <c r="H101" s="20" t="s">
        <v>252</v>
      </c>
      <c r="I101" s="20">
        <v>13.4</v>
      </c>
      <c r="J101" s="20">
        <v>572</v>
      </c>
      <c r="K101" s="20">
        <v>4280</v>
      </c>
    </row>
    <row r="102" spans="7:12" ht="22.5" customHeight="1" x14ac:dyDescent="0.2">
      <c r="G102" s="34"/>
      <c r="H102" s="20" t="s">
        <v>253</v>
      </c>
      <c r="I102" s="20">
        <v>36.200000000000003</v>
      </c>
      <c r="J102" s="35">
        <v>1551</v>
      </c>
      <c r="K102" s="20">
        <v>4280</v>
      </c>
    </row>
    <row r="103" spans="7:12" ht="22.5" customHeight="1" x14ac:dyDescent="0.2">
      <c r="G103" s="34"/>
      <c r="H103" s="20" t="s">
        <v>254</v>
      </c>
      <c r="I103" s="20">
        <v>6.8</v>
      </c>
      <c r="J103" s="20">
        <v>292</v>
      </c>
      <c r="K103" s="20">
        <v>4280</v>
      </c>
      <c r="L103" s="30"/>
    </row>
    <row r="104" spans="7:12" ht="22.5" customHeight="1" x14ac:dyDescent="0.2">
      <c r="G104" s="34"/>
      <c r="H104" s="20" t="s">
        <v>255</v>
      </c>
      <c r="I104" s="20">
        <v>0.4</v>
      </c>
      <c r="J104" s="20">
        <v>16</v>
      </c>
      <c r="K104" s="20">
        <v>4280</v>
      </c>
    </row>
    <row r="106" spans="7:12" ht="22.5" customHeight="1" x14ac:dyDescent="0.2">
      <c r="G106" s="33" t="s">
        <v>256</v>
      </c>
      <c r="H106" s="32" t="s">
        <v>115</v>
      </c>
      <c r="I106" s="32" t="s">
        <v>118</v>
      </c>
      <c r="J106" s="32" t="s">
        <v>116</v>
      </c>
      <c r="K106" s="55" t="s">
        <v>490</v>
      </c>
    </row>
    <row r="107" spans="7:12" ht="22.5" customHeight="1" x14ac:dyDescent="0.2">
      <c r="G107" s="34"/>
      <c r="H107" s="34" t="s">
        <v>257</v>
      </c>
      <c r="I107" s="20">
        <v>14.7</v>
      </c>
      <c r="J107" s="20">
        <v>631</v>
      </c>
      <c r="K107" s="20">
        <v>4280</v>
      </c>
    </row>
    <row r="108" spans="7:12" ht="22.5" customHeight="1" x14ac:dyDescent="0.2">
      <c r="G108" s="34"/>
      <c r="H108" s="20" t="s">
        <v>258</v>
      </c>
      <c r="I108" s="20">
        <v>66.099999999999994</v>
      </c>
      <c r="J108" s="35">
        <v>2828</v>
      </c>
      <c r="K108" s="20">
        <v>4280</v>
      </c>
    </row>
    <row r="109" spans="7:12" ht="22.5" customHeight="1" x14ac:dyDescent="0.2">
      <c r="G109" s="34"/>
      <c r="H109" s="20" t="s">
        <v>259</v>
      </c>
      <c r="I109" s="20">
        <v>18</v>
      </c>
      <c r="J109" s="20">
        <v>772</v>
      </c>
      <c r="K109" s="20">
        <v>4280</v>
      </c>
    </row>
    <row r="110" spans="7:12" ht="22.5" customHeight="1" x14ac:dyDescent="0.2">
      <c r="G110" s="34"/>
      <c r="H110" s="20" t="s">
        <v>260</v>
      </c>
      <c r="I110" s="20">
        <v>0.5</v>
      </c>
      <c r="J110" s="20">
        <v>20</v>
      </c>
      <c r="K110" s="20">
        <v>4280</v>
      </c>
    </row>
    <row r="111" spans="7:12" ht="22.5" customHeight="1" x14ac:dyDescent="0.2">
      <c r="G111" s="34"/>
      <c r="H111" s="20" t="s">
        <v>261</v>
      </c>
      <c r="I111" s="20">
        <v>0.7</v>
      </c>
      <c r="J111" s="20">
        <v>29</v>
      </c>
      <c r="K111" s="20">
        <v>4280</v>
      </c>
    </row>
  </sheetData>
  <dataValidations count="1">
    <dataValidation type="custom" allowBlank="1" showDropDown="1" sqref="K27:L28 K32:L36 C32:D39 K40:L46 K49:L55 K58:L63 M66:M73 J90:J91 J94:J95" xr:uid="{00000000-0002-0000-0100-000000000000}">
      <formula1>AND(ISNUMBER(C27),(NOT(OR(NOT(ISERROR(DATEVALUE(C27))), AND(ISNUMBER(C27), LEFT(CELL("format", C27))="D")))))</formula1>
    </dataValidation>
  </dataValidations>
  <pageMargins left="0.7" right="0.7" top="0.75" bottom="0.75" header="0.3" footer="0.3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13.85546875" customWidth="1"/>
    <col min="2" max="2" width="14.28515625" customWidth="1"/>
    <col min="3" max="3" width="11.42578125" customWidth="1"/>
    <col min="4" max="4" width="13.42578125" customWidth="1"/>
    <col min="5" max="5" width="11.42578125" customWidth="1"/>
    <col min="6" max="6" width="14" customWidth="1"/>
    <col min="7" max="7" width="10.85546875" customWidth="1"/>
    <col min="8" max="8" width="17" customWidth="1"/>
    <col min="9" max="9" width="6.42578125" customWidth="1"/>
    <col min="10" max="10" width="10.28515625" customWidth="1"/>
    <col min="11" max="11" width="6.7109375" customWidth="1"/>
    <col min="13" max="13" width="18.85546875" customWidth="1"/>
    <col min="14" max="14" width="17.85546875" customWidth="1"/>
    <col min="15" max="15" width="17" customWidth="1"/>
    <col min="16" max="16" width="13.7109375" customWidth="1"/>
    <col min="17" max="17" width="7.7109375" customWidth="1"/>
    <col min="18" max="18" width="10.28515625" customWidth="1"/>
    <col min="19" max="19" width="11.28515625" customWidth="1"/>
    <col min="20" max="20" width="9.28515625" customWidth="1"/>
    <col min="21" max="21" width="10.42578125" customWidth="1"/>
  </cols>
  <sheetData>
    <row r="1" spans="1:26" ht="12.75" x14ac:dyDescent="0.2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 t="s">
        <v>262</v>
      </c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22.5" customHeight="1" x14ac:dyDescent="0.2">
      <c r="A2" s="58" t="s">
        <v>8</v>
      </c>
      <c r="B2" s="1" t="s">
        <v>67</v>
      </c>
      <c r="C2" s="58" t="s">
        <v>233</v>
      </c>
      <c r="D2" s="1" t="s">
        <v>68</v>
      </c>
      <c r="E2" s="58" t="s">
        <v>263</v>
      </c>
      <c r="F2" s="59" t="s">
        <v>264</v>
      </c>
      <c r="G2" s="60" t="s">
        <v>265</v>
      </c>
      <c r="H2" s="59" t="s">
        <v>70</v>
      </c>
      <c r="I2" s="60" t="s">
        <v>266</v>
      </c>
      <c r="J2" s="60" t="s">
        <v>267</v>
      </c>
      <c r="K2" s="60" t="s">
        <v>268</v>
      </c>
      <c r="L2" s="56"/>
      <c r="M2" s="56"/>
      <c r="N2" s="1" t="s">
        <v>269</v>
      </c>
      <c r="O2" s="1" t="s">
        <v>115</v>
      </c>
      <c r="P2" s="1" t="s">
        <v>270</v>
      </c>
      <c r="Q2" s="1" t="s">
        <v>142</v>
      </c>
      <c r="R2" s="1" t="s">
        <v>143</v>
      </c>
      <c r="S2" s="56"/>
      <c r="T2" s="56"/>
      <c r="U2" s="56"/>
      <c r="V2" s="56"/>
      <c r="W2" s="56"/>
      <c r="X2" s="56"/>
      <c r="Y2" s="56"/>
      <c r="Z2" s="56"/>
    </row>
    <row r="3" spans="1:26" ht="22.5" customHeight="1" x14ac:dyDescent="0.2">
      <c r="A3" s="61" t="s">
        <v>0</v>
      </c>
      <c r="B3" s="61" t="s">
        <v>116</v>
      </c>
      <c r="C3" s="61" t="s">
        <v>118</v>
      </c>
      <c r="D3" s="61" t="s">
        <v>271</v>
      </c>
      <c r="E3" s="61" t="s">
        <v>272</v>
      </c>
      <c r="F3" s="62" t="s">
        <v>116</v>
      </c>
      <c r="G3" s="61" t="s">
        <v>272</v>
      </c>
      <c r="H3" s="61" t="s">
        <v>271</v>
      </c>
      <c r="I3" s="61" t="s">
        <v>118</v>
      </c>
      <c r="J3" s="61" t="s">
        <v>59</v>
      </c>
      <c r="K3" s="63" t="s">
        <v>118</v>
      </c>
      <c r="L3" s="56"/>
      <c r="M3" s="56"/>
      <c r="N3" s="64" t="s">
        <v>0</v>
      </c>
      <c r="O3" s="65" t="s">
        <v>11</v>
      </c>
      <c r="P3" s="65" t="s">
        <v>273</v>
      </c>
      <c r="Q3" s="65">
        <v>1</v>
      </c>
      <c r="R3" s="65">
        <v>11</v>
      </c>
      <c r="S3" s="56"/>
      <c r="T3" s="56"/>
      <c r="U3" s="56"/>
      <c r="V3" s="56"/>
      <c r="W3" s="56"/>
      <c r="X3" s="56"/>
      <c r="Y3" s="56"/>
      <c r="Z3" s="56"/>
    </row>
    <row r="4" spans="1:26" ht="22.5" customHeight="1" x14ac:dyDescent="0.2">
      <c r="A4" s="4" t="s">
        <v>11</v>
      </c>
      <c r="B4" s="4">
        <v>240</v>
      </c>
      <c r="C4" s="4">
        <v>16.2</v>
      </c>
      <c r="D4" s="4">
        <v>241</v>
      </c>
      <c r="E4" s="4">
        <v>16.2</v>
      </c>
      <c r="F4" s="20">
        <v>83</v>
      </c>
      <c r="G4" s="4">
        <v>12.7</v>
      </c>
      <c r="H4" s="4">
        <v>80</v>
      </c>
      <c r="I4" s="10">
        <v>12.2</v>
      </c>
      <c r="J4" s="4">
        <v>644</v>
      </c>
      <c r="K4" s="66">
        <f>(J4/Insurence_Enrollment_by_Province[[#Totals],[Column 6]])*100</f>
        <v>15.046728971962617</v>
      </c>
      <c r="L4" s="56"/>
      <c r="M4" s="56"/>
      <c r="N4" s="64"/>
      <c r="O4" s="65" t="s">
        <v>18</v>
      </c>
      <c r="P4" s="65" t="s">
        <v>274</v>
      </c>
      <c r="Q4" s="65">
        <v>1</v>
      </c>
      <c r="R4" s="65">
        <v>19</v>
      </c>
      <c r="S4" s="56"/>
      <c r="T4" s="56"/>
      <c r="U4" s="56"/>
      <c r="V4" s="56"/>
      <c r="W4" s="56"/>
      <c r="X4" s="56"/>
      <c r="Y4" s="56"/>
      <c r="Z4" s="56"/>
    </row>
    <row r="5" spans="1:26" ht="22.5" customHeight="1" x14ac:dyDescent="0.2">
      <c r="A5" s="4" t="s">
        <v>18</v>
      </c>
      <c r="B5" s="4">
        <v>200</v>
      </c>
      <c r="C5" s="4">
        <v>13.5</v>
      </c>
      <c r="D5" s="4">
        <v>200</v>
      </c>
      <c r="E5" s="4">
        <v>13.5</v>
      </c>
      <c r="F5" s="20">
        <v>52</v>
      </c>
      <c r="G5" s="4">
        <v>8</v>
      </c>
      <c r="H5" s="4">
        <v>52</v>
      </c>
      <c r="I5" s="10">
        <v>7.9</v>
      </c>
      <c r="J5" s="4">
        <v>504</v>
      </c>
      <c r="K5" s="66">
        <f>(J5/Insurence_Enrollment_by_Province[[#Totals],[Column 6]])*100</f>
        <v>11.775700934579438</v>
      </c>
      <c r="L5" s="56"/>
      <c r="M5" s="56"/>
      <c r="N5" s="64"/>
      <c r="O5" s="65" t="s">
        <v>23</v>
      </c>
      <c r="P5" s="65" t="s">
        <v>275</v>
      </c>
      <c r="Q5" s="65">
        <v>1</v>
      </c>
      <c r="R5" s="67">
        <v>35</v>
      </c>
      <c r="S5" s="56"/>
      <c r="T5" s="56"/>
      <c r="U5" s="56"/>
      <c r="V5" s="56"/>
      <c r="W5" s="56"/>
      <c r="X5" s="56"/>
      <c r="Y5" s="56"/>
      <c r="Z5" s="56"/>
    </row>
    <row r="6" spans="1:26" ht="22.5" customHeight="1" x14ac:dyDescent="0.2">
      <c r="A6" s="4" t="s">
        <v>23</v>
      </c>
      <c r="B6" s="4">
        <v>301</v>
      </c>
      <c r="C6" s="4">
        <v>20.3</v>
      </c>
      <c r="D6" s="4">
        <v>301</v>
      </c>
      <c r="E6" s="4">
        <v>20.3</v>
      </c>
      <c r="F6" s="20">
        <v>365</v>
      </c>
      <c r="G6" s="4">
        <v>55.8</v>
      </c>
      <c r="H6" s="4">
        <v>372</v>
      </c>
      <c r="I6" s="4">
        <v>56.6</v>
      </c>
      <c r="J6" s="10">
        <v>1339</v>
      </c>
      <c r="K6" s="66">
        <f>(J6/Insurence_Enrollment_by_Province[[#Totals],[Column 6]])*100</f>
        <v>31.28504672897196</v>
      </c>
      <c r="L6" s="56"/>
      <c r="M6" s="56"/>
      <c r="N6" s="64"/>
      <c r="O6" s="65" t="s">
        <v>28</v>
      </c>
      <c r="P6" s="65" t="s">
        <v>276</v>
      </c>
      <c r="Q6" s="65">
        <v>1</v>
      </c>
      <c r="R6" s="65">
        <v>9</v>
      </c>
      <c r="S6" s="56"/>
      <c r="T6" s="56"/>
      <c r="U6" s="56"/>
      <c r="V6" s="56"/>
      <c r="W6" s="56"/>
      <c r="X6" s="56"/>
      <c r="Y6" s="56"/>
      <c r="Z6" s="56"/>
    </row>
    <row r="7" spans="1:26" ht="22.5" customHeight="1" x14ac:dyDescent="0.2">
      <c r="A7" s="4" t="s">
        <v>28</v>
      </c>
      <c r="B7" s="4">
        <v>180</v>
      </c>
      <c r="C7" s="4">
        <v>12.1</v>
      </c>
      <c r="D7" s="4">
        <v>181</v>
      </c>
      <c r="E7" s="4">
        <v>12.2</v>
      </c>
      <c r="F7" s="20">
        <v>52</v>
      </c>
      <c r="G7" s="4">
        <v>8</v>
      </c>
      <c r="H7" s="4">
        <v>53</v>
      </c>
      <c r="I7" s="4">
        <v>8.1</v>
      </c>
      <c r="J7" s="4">
        <v>466</v>
      </c>
      <c r="K7" s="66">
        <f>(J7/Insurence_Enrollment_by_Province[[#Totals],[Column 6]])*100</f>
        <v>10.88785046728972</v>
      </c>
      <c r="L7" s="56"/>
      <c r="M7" s="56"/>
      <c r="N7" s="64"/>
      <c r="O7" s="65" t="s">
        <v>33</v>
      </c>
      <c r="P7" s="65" t="s">
        <v>277</v>
      </c>
      <c r="Q7" s="65">
        <v>1</v>
      </c>
      <c r="R7" s="65">
        <v>10</v>
      </c>
      <c r="S7" s="56"/>
      <c r="T7" s="56"/>
      <c r="U7" s="56"/>
      <c r="V7" s="56"/>
      <c r="W7" s="56"/>
      <c r="X7" s="56"/>
      <c r="Y7" s="56"/>
      <c r="Z7" s="56"/>
    </row>
    <row r="8" spans="1:26" ht="22.5" customHeight="1" x14ac:dyDescent="0.2">
      <c r="A8" s="4" t="s">
        <v>33</v>
      </c>
      <c r="B8" s="4">
        <v>221</v>
      </c>
      <c r="C8" s="4">
        <v>14.9</v>
      </c>
      <c r="D8" s="4">
        <v>220</v>
      </c>
      <c r="E8" s="4">
        <v>14.8</v>
      </c>
      <c r="F8" s="20">
        <v>55</v>
      </c>
      <c r="G8" s="4">
        <v>8.4</v>
      </c>
      <c r="H8" s="4">
        <v>54</v>
      </c>
      <c r="I8" s="10">
        <v>8.1999999999999993</v>
      </c>
      <c r="J8" s="4">
        <v>550</v>
      </c>
      <c r="K8" s="66">
        <f>(J8/Insurence_Enrollment_by_Province[[#Totals],[Column 6]])*100</f>
        <v>12.850467289719624</v>
      </c>
      <c r="L8" s="56"/>
      <c r="M8" s="56"/>
      <c r="N8" s="64"/>
      <c r="O8" s="65" t="s">
        <v>38</v>
      </c>
      <c r="P8" s="65" t="s">
        <v>278</v>
      </c>
      <c r="Q8" s="65">
        <v>1</v>
      </c>
      <c r="R8" s="65">
        <v>9</v>
      </c>
      <c r="S8" s="56"/>
      <c r="T8" s="56"/>
      <c r="U8" s="56"/>
      <c r="V8" s="56"/>
      <c r="W8" s="56"/>
      <c r="X8" s="56"/>
      <c r="Y8" s="56"/>
      <c r="Z8" s="56"/>
    </row>
    <row r="9" spans="1:26" ht="22.5" customHeight="1" x14ac:dyDescent="0.2">
      <c r="A9" s="4" t="s">
        <v>38</v>
      </c>
      <c r="B9" s="4">
        <v>162</v>
      </c>
      <c r="C9" s="4">
        <v>10.9</v>
      </c>
      <c r="D9" s="4">
        <v>162</v>
      </c>
      <c r="E9" s="4">
        <v>10.9</v>
      </c>
      <c r="F9" s="20">
        <v>21</v>
      </c>
      <c r="G9" s="4">
        <v>3.1</v>
      </c>
      <c r="H9" s="4">
        <v>21</v>
      </c>
      <c r="I9" s="4">
        <v>3.2</v>
      </c>
      <c r="J9" s="4">
        <v>366</v>
      </c>
      <c r="K9" s="66">
        <f>(J9/Insurence_Enrollment_by_Province[[#Totals],[Column 6]])*100</f>
        <v>8.5514018691588785</v>
      </c>
      <c r="L9" s="56"/>
      <c r="M9" s="56"/>
      <c r="N9" s="64"/>
      <c r="O9" s="65" t="s">
        <v>42</v>
      </c>
      <c r="P9" s="65" t="s">
        <v>279</v>
      </c>
      <c r="Q9" s="65">
        <v>1</v>
      </c>
      <c r="R9" s="65">
        <v>9</v>
      </c>
      <c r="S9" s="56"/>
      <c r="T9" s="56"/>
      <c r="U9" s="56"/>
      <c r="V9" s="56"/>
      <c r="W9" s="56"/>
      <c r="X9" s="56"/>
      <c r="Y9" s="56"/>
      <c r="Z9" s="56"/>
    </row>
    <row r="10" spans="1:26" ht="22.5" customHeight="1" x14ac:dyDescent="0.2">
      <c r="A10" s="4" t="s">
        <v>42</v>
      </c>
      <c r="B10" s="4">
        <v>180</v>
      </c>
      <c r="C10" s="4">
        <v>12.1</v>
      </c>
      <c r="D10" s="4">
        <v>180</v>
      </c>
      <c r="E10" s="4">
        <v>12.1</v>
      </c>
      <c r="F10" s="20">
        <v>26</v>
      </c>
      <c r="G10" s="4">
        <v>4</v>
      </c>
      <c r="H10" s="4">
        <v>25</v>
      </c>
      <c r="I10" s="4">
        <v>3.8</v>
      </c>
      <c r="J10" s="4">
        <v>411</v>
      </c>
      <c r="K10" s="66">
        <f>(J10/Insurence_Enrollment_by_Province[[#Totals],[Column 6]])*100</f>
        <v>9.6028037383177569</v>
      </c>
      <c r="L10" s="56"/>
      <c r="M10" s="56"/>
      <c r="S10" s="56"/>
      <c r="T10" s="56"/>
      <c r="U10" s="56"/>
      <c r="V10" s="56"/>
      <c r="W10" s="56"/>
      <c r="X10" s="56"/>
      <c r="Y10" s="56"/>
      <c r="Z10" s="56"/>
    </row>
    <row r="11" spans="1:26" ht="22.5" customHeight="1" x14ac:dyDescent="0.2">
      <c r="A11" s="15" t="s">
        <v>47</v>
      </c>
      <c r="B11" s="15">
        <f t="shared" ref="B11:K11" si="0">SUM(B4:B10)</f>
        <v>1484</v>
      </c>
      <c r="C11" s="15">
        <f t="shared" si="0"/>
        <v>100</v>
      </c>
      <c r="D11" s="15">
        <f t="shared" si="0"/>
        <v>1485</v>
      </c>
      <c r="E11" s="15">
        <f t="shared" si="0"/>
        <v>100</v>
      </c>
      <c r="F11" s="15">
        <f t="shared" si="0"/>
        <v>654</v>
      </c>
      <c r="G11" s="15">
        <f t="shared" si="0"/>
        <v>100</v>
      </c>
      <c r="H11" s="15">
        <f t="shared" si="0"/>
        <v>657</v>
      </c>
      <c r="I11" s="68">
        <f t="shared" si="0"/>
        <v>100</v>
      </c>
      <c r="J11" s="15">
        <f t="shared" si="0"/>
        <v>4280</v>
      </c>
      <c r="K11" s="69">
        <f t="shared" si="0"/>
        <v>100.00000000000001</v>
      </c>
      <c r="L11" s="56"/>
      <c r="M11" s="56"/>
      <c r="S11" s="56"/>
      <c r="T11" s="56"/>
      <c r="U11" s="56"/>
      <c r="V11" s="56"/>
      <c r="W11" s="56"/>
      <c r="X11" s="56"/>
      <c r="Y11" s="56"/>
      <c r="Z11" s="56"/>
    </row>
    <row r="12" spans="1:26" ht="22.5" customHeight="1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1" t="s">
        <v>280</v>
      </c>
      <c r="O12" s="58" t="s">
        <v>67</v>
      </c>
      <c r="P12" s="58" t="s">
        <v>281</v>
      </c>
      <c r="Q12" s="58" t="s">
        <v>282</v>
      </c>
      <c r="R12" s="58" t="s">
        <v>283</v>
      </c>
      <c r="S12" s="56"/>
      <c r="T12" s="56"/>
      <c r="U12" s="56"/>
      <c r="V12" s="56"/>
      <c r="W12" s="56"/>
      <c r="X12" s="56"/>
      <c r="Y12" s="56"/>
      <c r="Z12" s="56"/>
    </row>
    <row r="13" spans="1:26" ht="22.5" customHeight="1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70"/>
      <c r="O13" s="71" t="s">
        <v>68</v>
      </c>
      <c r="P13" s="71" t="s">
        <v>284</v>
      </c>
      <c r="Q13" s="71">
        <v>1</v>
      </c>
      <c r="R13" s="71">
        <v>35</v>
      </c>
      <c r="S13" s="56"/>
      <c r="T13" s="56"/>
      <c r="U13" s="56"/>
      <c r="V13" s="56"/>
      <c r="W13" s="56"/>
      <c r="X13" s="56"/>
      <c r="Y13" s="56"/>
      <c r="Z13" s="56"/>
    </row>
    <row r="14" spans="1:26" ht="22.5" customHeight="1" x14ac:dyDescent="0.2">
      <c r="A14" s="47" t="s">
        <v>8</v>
      </c>
      <c r="B14" s="15" t="s">
        <v>285</v>
      </c>
      <c r="C14" s="47" t="s">
        <v>233</v>
      </c>
      <c r="D14" s="15" t="s">
        <v>68</v>
      </c>
      <c r="E14" s="47" t="s">
        <v>263</v>
      </c>
      <c r="F14" s="72" t="s">
        <v>264</v>
      </c>
      <c r="G14" s="73" t="s">
        <v>268</v>
      </c>
      <c r="H14" s="72" t="s">
        <v>70</v>
      </c>
      <c r="I14" s="73" t="s">
        <v>266</v>
      </c>
      <c r="J14" s="73" t="s">
        <v>267</v>
      </c>
      <c r="K14" s="73" t="s">
        <v>265</v>
      </c>
      <c r="L14" s="56"/>
      <c r="M14" s="56"/>
      <c r="N14" s="70"/>
      <c r="O14" s="24" t="s">
        <v>69</v>
      </c>
      <c r="P14" s="24" t="s">
        <v>286</v>
      </c>
      <c r="Q14" s="24">
        <v>1</v>
      </c>
      <c r="R14" s="24">
        <v>12</v>
      </c>
      <c r="S14" s="56"/>
      <c r="T14" s="56"/>
      <c r="U14" s="56"/>
      <c r="V14" s="56"/>
      <c r="W14" s="56"/>
      <c r="X14" s="56"/>
      <c r="Y14" s="56"/>
      <c r="Z14" s="56"/>
    </row>
    <row r="15" spans="1:26" ht="22.5" customHeight="1" x14ac:dyDescent="0.2">
      <c r="A15" s="74" t="s">
        <v>287</v>
      </c>
      <c r="B15" s="74" t="s">
        <v>116</v>
      </c>
      <c r="C15" s="74" t="s">
        <v>118</v>
      </c>
      <c r="D15" s="74" t="s">
        <v>271</v>
      </c>
      <c r="E15" s="74" t="s">
        <v>272</v>
      </c>
      <c r="F15" s="74" t="s">
        <v>116</v>
      </c>
      <c r="G15" s="74" t="s">
        <v>272</v>
      </c>
      <c r="H15" s="74" t="s">
        <v>271</v>
      </c>
      <c r="I15" s="74" t="s">
        <v>272</v>
      </c>
      <c r="J15" s="74" t="s">
        <v>59</v>
      </c>
      <c r="K15" s="75" t="s">
        <v>118</v>
      </c>
      <c r="L15" s="56"/>
      <c r="M15" s="56"/>
      <c r="N15" s="24"/>
      <c r="O15" s="24" t="s">
        <v>70</v>
      </c>
      <c r="P15" s="24" t="s">
        <v>288</v>
      </c>
      <c r="Q15" s="24">
        <v>1</v>
      </c>
      <c r="R15" s="24">
        <v>14</v>
      </c>
      <c r="S15" s="56"/>
      <c r="T15" s="56"/>
      <c r="U15" s="56"/>
      <c r="V15" s="56"/>
      <c r="W15" s="56"/>
      <c r="X15" s="56"/>
      <c r="Y15" s="56"/>
      <c r="Z15" s="56"/>
    </row>
    <row r="16" spans="1:26" ht="22.5" customHeight="1" x14ac:dyDescent="0.2">
      <c r="A16" s="4" t="s">
        <v>1</v>
      </c>
      <c r="B16" s="10">
        <v>881</v>
      </c>
      <c r="C16" s="76">
        <f>(B16/B18)*100</f>
        <v>59.366576819407015</v>
      </c>
      <c r="D16" s="10">
        <v>883</v>
      </c>
      <c r="E16" s="76">
        <f>(D16/D18)*100</f>
        <v>59.46127946127946</v>
      </c>
      <c r="F16" s="10">
        <v>641</v>
      </c>
      <c r="G16" s="76">
        <f>(F16/F18)*100</f>
        <v>98.012232415902147</v>
      </c>
      <c r="H16" s="4">
        <v>640</v>
      </c>
      <c r="I16" s="76">
        <f>(H16/H18)*100</f>
        <v>97.412480974124804</v>
      </c>
      <c r="J16" s="10">
        <v>3045</v>
      </c>
      <c r="K16" s="69">
        <f>(J16/J18)*100</f>
        <v>71.144859813084111</v>
      </c>
      <c r="L16" s="56"/>
      <c r="M16" s="56"/>
      <c r="S16" s="56"/>
      <c r="T16" s="56"/>
      <c r="U16" s="56"/>
      <c r="V16" s="56"/>
      <c r="W16" s="56"/>
      <c r="X16" s="56"/>
      <c r="Y16" s="56"/>
      <c r="Z16" s="56"/>
    </row>
    <row r="17" spans="1:26" ht="22.5" customHeight="1" x14ac:dyDescent="0.2">
      <c r="A17" s="4" t="s">
        <v>2</v>
      </c>
      <c r="B17" s="10">
        <v>603</v>
      </c>
      <c r="C17" s="76">
        <f>(B17/B18)*100</f>
        <v>40.633423180592992</v>
      </c>
      <c r="D17" s="10">
        <v>602</v>
      </c>
      <c r="E17" s="76">
        <f>(D17/D18)*100</f>
        <v>40.53872053872054</v>
      </c>
      <c r="F17" s="10">
        <v>13</v>
      </c>
      <c r="G17" s="76">
        <f>(F17/F18)*100</f>
        <v>1.9877675840978593</v>
      </c>
      <c r="H17" s="4">
        <v>17</v>
      </c>
      <c r="I17" s="76">
        <f>(H17/H18)*100</f>
        <v>2.5875190258751903</v>
      </c>
      <c r="J17" s="10">
        <v>1235</v>
      </c>
      <c r="K17" s="69">
        <f>(J17/J18)*100</f>
        <v>28.855140186915889</v>
      </c>
      <c r="L17" s="56"/>
      <c r="N17" s="58" t="s">
        <v>8</v>
      </c>
      <c r="O17" s="58" t="s">
        <v>233</v>
      </c>
      <c r="P17" s="58" t="s">
        <v>263</v>
      </c>
      <c r="Q17" s="58" t="s">
        <v>268</v>
      </c>
      <c r="R17" s="58" t="s">
        <v>266</v>
      </c>
      <c r="V17" s="56"/>
      <c r="W17" s="56"/>
      <c r="X17" s="56"/>
      <c r="Y17" s="56"/>
      <c r="Z17" s="56"/>
    </row>
    <row r="18" spans="1:26" ht="22.5" customHeight="1" x14ac:dyDescent="0.2">
      <c r="A18" s="5" t="s">
        <v>47</v>
      </c>
      <c r="B18" s="9">
        <v>1484</v>
      </c>
      <c r="C18" s="77">
        <f>SUM(C16:C17)</f>
        <v>100</v>
      </c>
      <c r="D18" s="9">
        <v>1485</v>
      </c>
      <c r="E18" s="77">
        <f>SUM(E16:E17)</f>
        <v>100</v>
      </c>
      <c r="F18" s="5">
        <v>654</v>
      </c>
      <c r="G18" s="77">
        <f>SUM(G16:G17)</f>
        <v>100</v>
      </c>
      <c r="H18" s="4">
        <v>657</v>
      </c>
      <c r="I18" s="77">
        <f>SUM(I16:I17)</f>
        <v>100</v>
      </c>
      <c r="J18" s="10">
        <v>4280</v>
      </c>
      <c r="K18" s="69">
        <v>100</v>
      </c>
      <c r="L18" s="56"/>
      <c r="N18" s="78" t="s">
        <v>287</v>
      </c>
      <c r="O18" s="18" t="s">
        <v>1</v>
      </c>
      <c r="P18" s="18" t="s">
        <v>289</v>
      </c>
      <c r="Q18" s="18">
        <v>1</v>
      </c>
      <c r="R18" s="67">
        <v>35</v>
      </c>
      <c r="V18" s="56"/>
      <c r="W18" s="56"/>
      <c r="X18" s="56"/>
      <c r="Y18" s="56"/>
      <c r="Z18" s="56"/>
    </row>
    <row r="19" spans="1:26" ht="22.5" customHeight="1" x14ac:dyDescent="0.2">
      <c r="A19" s="6"/>
      <c r="B19" s="6"/>
      <c r="C19" s="6"/>
      <c r="D19" s="6"/>
      <c r="E19" s="6"/>
      <c r="F19" s="6"/>
      <c r="G19" s="56"/>
      <c r="H19" s="56"/>
      <c r="I19" s="56"/>
      <c r="J19" s="56"/>
      <c r="K19" s="56"/>
      <c r="L19" s="56"/>
      <c r="N19" s="78"/>
      <c r="O19" s="18" t="s">
        <v>2</v>
      </c>
      <c r="P19" s="18" t="s">
        <v>290</v>
      </c>
      <c r="Q19" s="18">
        <v>1</v>
      </c>
      <c r="R19" s="18">
        <v>13</v>
      </c>
      <c r="V19" s="56"/>
      <c r="W19" s="56"/>
      <c r="X19" s="56"/>
      <c r="Y19" s="56"/>
      <c r="Z19" s="56"/>
    </row>
    <row r="20" spans="1:26" ht="12.75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U20" s="56"/>
      <c r="V20" s="56"/>
      <c r="W20" s="56"/>
      <c r="X20" s="56"/>
      <c r="Y20" s="56"/>
      <c r="Z20" s="56"/>
    </row>
    <row r="21" spans="1:26" ht="22.5" customHeight="1" x14ac:dyDescent="0.2">
      <c r="A21" s="47" t="s">
        <v>8</v>
      </c>
      <c r="B21" s="15" t="s">
        <v>285</v>
      </c>
      <c r="C21" s="47" t="s">
        <v>233</v>
      </c>
      <c r="D21" s="15" t="s">
        <v>68</v>
      </c>
      <c r="E21" s="47" t="s">
        <v>263</v>
      </c>
      <c r="F21" s="72" t="s">
        <v>264</v>
      </c>
      <c r="G21" s="73" t="s">
        <v>268</v>
      </c>
      <c r="H21" s="72" t="s">
        <v>70</v>
      </c>
      <c r="I21" s="73" t="s">
        <v>266</v>
      </c>
      <c r="J21" s="73" t="s">
        <v>267</v>
      </c>
      <c r="K21" s="73" t="s">
        <v>265</v>
      </c>
      <c r="L21" s="56"/>
      <c r="U21" s="56"/>
      <c r="V21" s="56"/>
      <c r="W21" s="56"/>
      <c r="X21" s="56"/>
      <c r="Y21" s="56"/>
      <c r="Z21" s="56"/>
    </row>
    <row r="22" spans="1:26" ht="22.5" customHeight="1" x14ac:dyDescent="0.2">
      <c r="A22" s="74" t="s">
        <v>291</v>
      </c>
      <c r="B22" s="74" t="s">
        <v>116</v>
      </c>
      <c r="C22" s="74" t="s">
        <v>272</v>
      </c>
      <c r="D22" s="74" t="s">
        <v>271</v>
      </c>
      <c r="E22" s="74" t="s">
        <v>272</v>
      </c>
      <c r="F22" s="74" t="s">
        <v>116</v>
      </c>
      <c r="G22" s="74" t="s">
        <v>118</v>
      </c>
      <c r="H22" s="74" t="s">
        <v>116</v>
      </c>
      <c r="I22" s="74" t="s">
        <v>272</v>
      </c>
      <c r="J22" s="74" t="s">
        <v>59</v>
      </c>
      <c r="K22" s="79" t="s">
        <v>118</v>
      </c>
      <c r="L22" s="56"/>
      <c r="U22" s="56"/>
      <c r="V22" s="56"/>
      <c r="W22" s="56"/>
      <c r="X22" s="56"/>
      <c r="Y22" s="56"/>
      <c r="Z22" s="56"/>
    </row>
    <row r="23" spans="1:26" ht="22.5" customHeight="1" x14ac:dyDescent="0.2">
      <c r="A23" s="4" t="s">
        <v>212</v>
      </c>
      <c r="B23" s="80">
        <v>381</v>
      </c>
      <c r="C23" s="76">
        <f>(B23/B28)*100</f>
        <v>25.673854447439354</v>
      </c>
      <c r="D23" s="10">
        <v>427</v>
      </c>
      <c r="E23" s="76">
        <f>(D23/D28)*100</f>
        <v>28.754208754208754</v>
      </c>
      <c r="F23" s="4">
        <v>17</v>
      </c>
      <c r="G23" s="66">
        <f>(F23/F28)*100</f>
        <v>2.5993883792048931</v>
      </c>
      <c r="H23" s="4">
        <v>31</v>
      </c>
      <c r="I23" s="66">
        <f>(H23/H28)*100</f>
        <v>4.71841704718417</v>
      </c>
      <c r="J23" s="10">
        <v>856</v>
      </c>
      <c r="K23" s="81">
        <f>(J23/J28)*100</f>
        <v>20</v>
      </c>
      <c r="L23" s="56"/>
      <c r="M23" s="56"/>
      <c r="N23" s="1" t="s">
        <v>291</v>
      </c>
      <c r="O23" s="58" t="s">
        <v>212</v>
      </c>
      <c r="P23" s="58" t="s">
        <v>292</v>
      </c>
      <c r="Q23" s="58" t="s">
        <v>282</v>
      </c>
      <c r="R23" s="58" t="s">
        <v>293</v>
      </c>
      <c r="S23" s="56"/>
      <c r="T23" s="56"/>
      <c r="U23" s="56"/>
      <c r="V23" s="56"/>
      <c r="W23" s="56"/>
      <c r="X23" s="56"/>
      <c r="Y23" s="56"/>
      <c r="Z23" s="56"/>
    </row>
    <row r="24" spans="1:26" ht="22.5" customHeight="1" x14ac:dyDescent="0.2">
      <c r="A24" s="4" t="s">
        <v>216</v>
      </c>
      <c r="B24" s="80">
        <v>332</v>
      </c>
      <c r="C24" s="76">
        <f>(B24/B28)*100</f>
        <v>22.371967654986523</v>
      </c>
      <c r="D24" s="10">
        <v>361</v>
      </c>
      <c r="E24" s="76">
        <f>(D24/D28)*100</f>
        <v>24.309764309764308</v>
      </c>
      <c r="F24" s="4">
        <v>55</v>
      </c>
      <c r="G24" s="66">
        <f>(F24/F28)*100</f>
        <v>8.4097859327217126</v>
      </c>
      <c r="H24" s="4">
        <v>108</v>
      </c>
      <c r="I24" s="66">
        <f>(H24/H28)*100</f>
        <v>16.43835616438356</v>
      </c>
      <c r="J24" s="10">
        <v>856</v>
      </c>
      <c r="K24" s="4">
        <v>20</v>
      </c>
      <c r="L24" s="56"/>
      <c r="M24" s="56"/>
      <c r="N24" s="82"/>
      <c r="O24" s="7" t="s">
        <v>216</v>
      </c>
      <c r="P24" s="7" t="s">
        <v>294</v>
      </c>
      <c r="Q24" s="7">
        <v>1</v>
      </c>
      <c r="R24" s="7">
        <v>12</v>
      </c>
      <c r="S24" s="56"/>
      <c r="T24" s="56"/>
      <c r="U24" s="56"/>
      <c r="V24" s="56"/>
      <c r="W24" s="56"/>
      <c r="X24" s="56"/>
      <c r="Y24" s="56"/>
      <c r="Z24" s="56"/>
    </row>
    <row r="25" spans="1:26" ht="22.5" customHeight="1" x14ac:dyDescent="0.2">
      <c r="A25" s="4" t="s">
        <v>220</v>
      </c>
      <c r="B25" s="80">
        <v>267</v>
      </c>
      <c r="C25" s="76">
        <f>(B25/B28)*100</f>
        <v>17.991913746630729</v>
      </c>
      <c r="D25" s="10">
        <v>257</v>
      </c>
      <c r="E25" s="76">
        <f>(D25/D28)*100</f>
        <v>17.306397306397304</v>
      </c>
      <c r="F25" s="4">
        <v>153</v>
      </c>
      <c r="G25" s="66">
        <f>(F25/F28)*100</f>
        <v>23.394495412844037</v>
      </c>
      <c r="H25" s="4">
        <v>179</v>
      </c>
      <c r="I25" s="66">
        <f>(H25/H28)*100</f>
        <v>27.24505327245053</v>
      </c>
      <c r="J25" s="10">
        <v>856</v>
      </c>
      <c r="K25" s="4">
        <v>20</v>
      </c>
      <c r="L25" s="56"/>
      <c r="M25" s="56"/>
      <c r="N25" s="82"/>
      <c r="O25" s="7" t="s">
        <v>220</v>
      </c>
      <c r="P25" s="7" t="s">
        <v>295</v>
      </c>
      <c r="Q25" s="7">
        <v>1</v>
      </c>
      <c r="R25" s="7">
        <v>14</v>
      </c>
      <c r="S25" s="56"/>
      <c r="T25" s="56"/>
      <c r="U25" s="56"/>
      <c r="V25" s="56"/>
      <c r="W25" s="56"/>
      <c r="X25" s="56"/>
      <c r="Y25" s="56"/>
      <c r="Z25" s="56"/>
    </row>
    <row r="26" spans="1:26" ht="22.5" customHeight="1" x14ac:dyDescent="0.2">
      <c r="A26" s="4" t="s">
        <v>224</v>
      </c>
      <c r="B26" s="80">
        <v>246</v>
      </c>
      <c r="C26" s="76">
        <f>(B26/B28)*100</f>
        <v>16.576819407008088</v>
      </c>
      <c r="D26" s="10">
        <v>245</v>
      </c>
      <c r="E26" s="76">
        <f>(D26/D28)*100</f>
        <v>16.498316498316498</v>
      </c>
      <c r="F26" s="4">
        <v>187</v>
      </c>
      <c r="G26" s="66">
        <f>(F26/F28)*100</f>
        <v>28.593272171253826</v>
      </c>
      <c r="H26" s="4">
        <v>178</v>
      </c>
      <c r="I26" s="66">
        <f>(H26/H28)*100</f>
        <v>27.092846270928462</v>
      </c>
      <c r="J26" s="10">
        <v>856</v>
      </c>
      <c r="K26" s="4">
        <v>20</v>
      </c>
      <c r="L26" s="56"/>
      <c r="M26" s="56"/>
      <c r="N26" s="82"/>
      <c r="O26" s="7" t="s">
        <v>224</v>
      </c>
      <c r="P26" s="7" t="s">
        <v>296</v>
      </c>
      <c r="Q26" s="7">
        <v>1</v>
      </c>
      <c r="R26" s="7">
        <v>14</v>
      </c>
      <c r="S26" s="56"/>
      <c r="T26" s="56"/>
      <c r="U26" s="56"/>
      <c r="V26" s="56"/>
      <c r="W26" s="56"/>
      <c r="X26" s="56"/>
      <c r="Y26" s="56"/>
      <c r="Z26" s="56"/>
    </row>
    <row r="27" spans="1:26" ht="22.5" customHeight="1" x14ac:dyDescent="0.2">
      <c r="A27" s="4" t="s">
        <v>228</v>
      </c>
      <c r="B27" s="80">
        <v>258</v>
      </c>
      <c r="C27" s="76">
        <f>(B27/B28)*100</f>
        <v>17.385444743935309</v>
      </c>
      <c r="D27" s="10">
        <v>195</v>
      </c>
      <c r="E27" s="76">
        <f>(D27/D28)*100</f>
        <v>13.131313131313133</v>
      </c>
      <c r="F27" s="4">
        <v>242</v>
      </c>
      <c r="G27" s="66">
        <f>(F27/F28)*100</f>
        <v>37.003058103975533</v>
      </c>
      <c r="H27" s="4">
        <v>161</v>
      </c>
      <c r="I27" s="66">
        <f>(H27/H28)*100</f>
        <v>24.50532724505327</v>
      </c>
      <c r="J27" s="10">
        <v>856</v>
      </c>
      <c r="K27" s="4">
        <v>20</v>
      </c>
      <c r="L27" s="56"/>
      <c r="M27" s="56"/>
      <c r="N27" s="82"/>
      <c r="O27" s="7" t="s">
        <v>228</v>
      </c>
      <c r="P27" s="7" t="s">
        <v>297</v>
      </c>
      <c r="Q27" s="7">
        <v>1</v>
      </c>
      <c r="R27" s="7">
        <v>35</v>
      </c>
      <c r="S27" s="56"/>
      <c r="T27" s="56"/>
      <c r="U27" s="56"/>
      <c r="V27" s="56"/>
      <c r="W27" s="56"/>
      <c r="X27" s="56"/>
      <c r="Y27" s="56"/>
      <c r="Z27" s="56"/>
    </row>
    <row r="28" spans="1:26" ht="22.5" customHeight="1" x14ac:dyDescent="0.2">
      <c r="A28" s="5" t="s">
        <v>47</v>
      </c>
      <c r="B28" s="83">
        <v>1484</v>
      </c>
      <c r="C28" s="77">
        <f>SUM(C23:C27)</f>
        <v>100</v>
      </c>
      <c r="D28" s="9">
        <v>1485</v>
      </c>
      <c r="E28" s="77">
        <f>SUM(E23:E27)</f>
        <v>100</v>
      </c>
      <c r="F28" s="5">
        <v>654</v>
      </c>
      <c r="G28" s="84">
        <f>SUM(G23:G27)</f>
        <v>100</v>
      </c>
      <c r="H28" s="5">
        <v>657</v>
      </c>
      <c r="I28" s="84">
        <f>SUM(I23:I27)</f>
        <v>99.999999999999986</v>
      </c>
      <c r="J28" s="9">
        <v>4280</v>
      </c>
      <c r="K28" s="47">
        <v>100</v>
      </c>
      <c r="L28" s="56"/>
      <c r="M28" s="85"/>
      <c r="N28" s="86" t="s">
        <v>298</v>
      </c>
      <c r="O28" s="86" t="s">
        <v>47</v>
      </c>
      <c r="P28" s="86" t="s">
        <v>299</v>
      </c>
      <c r="Q28" s="86">
        <v>1</v>
      </c>
      <c r="R28" s="86">
        <v>35</v>
      </c>
      <c r="S28" s="56"/>
      <c r="T28" s="56"/>
      <c r="V28" s="56"/>
      <c r="W28" s="56"/>
      <c r="X28" s="56"/>
      <c r="Y28" s="56"/>
      <c r="Z28" s="56"/>
    </row>
    <row r="29" spans="1:26" ht="12.75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V29" s="56"/>
      <c r="W29" s="56"/>
      <c r="X29" s="56"/>
      <c r="Y29" s="56"/>
      <c r="Z29" s="56"/>
    </row>
    <row r="30" spans="1:26" ht="12.75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V30" s="56"/>
      <c r="W30" s="56"/>
      <c r="X30" s="56"/>
      <c r="Y30" s="56"/>
      <c r="Z30" s="56"/>
    </row>
    <row r="31" spans="1:26" ht="22.5" customHeight="1" x14ac:dyDescent="0.25">
      <c r="A31" s="87" t="s">
        <v>0</v>
      </c>
      <c r="B31" s="88" t="s">
        <v>300</v>
      </c>
      <c r="C31" s="88" t="s">
        <v>8</v>
      </c>
      <c r="D31" s="88" t="s">
        <v>301</v>
      </c>
      <c r="E31" s="88" t="s">
        <v>233</v>
      </c>
      <c r="F31" s="89" t="s">
        <v>263</v>
      </c>
      <c r="G31" s="89" t="s">
        <v>268</v>
      </c>
      <c r="H31" s="89"/>
      <c r="I31" s="56"/>
      <c r="J31" s="90"/>
      <c r="K31" s="56"/>
      <c r="L31" s="56"/>
      <c r="M31" s="56"/>
      <c r="N31" s="1" t="s">
        <v>115</v>
      </c>
      <c r="O31" s="1" t="s">
        <v>302</v>
      </c>
      <c r="P31" s="1" t="s">
        <v>303</v>
      </c>
      <c r="Q31" s="1" t="s">
        <v>304</v>
      </c>
      <c r="R31" s="1" t="s">
        <v>305</v>
      </c>
      <c r="S31" s="1" t="s">
        <v>306</v>
      </c>
      <c r="T31" s="1" t="s">
        <v>119</v>
      </c>
      <c r="U31" s="1" t="s">
        <v>307</v>
      </c>
      <c r="V31" s="56"/>
      <c r="W31" s="56"/>
      <c r="X31" s="56"/>
      <c r="Y31" s="56"/>
      <c r="Z31" s="56"/>
    </row>
    <row r="32" spans="1:26" ht="22.5" customHeight="1" x14ac:dyDescent="0.25">
      <c r="A32" s="91" t="s">
        <v>0</v>
      </c>
      <c r="B32" s="92" t="s">
        <v>300</v>
      </c>
      <c r="C32" s="93" t="s">
        <v>308</v>
      </c>
      <c r="D32" s="93" t="s">
        <v>309</v>
      </c>
      <c r="E32" s="93" t="s">
        <v>301</v>
      </c>
      <c r="F32" s="92" t="s">
        <v>59</v>
      </c>
      <c r="G32" s="94" t="s">
        <v>310</v>
      </c>
      <c r="H32" s="90"/>
      <c r="I32" s="56"/>
      <c r="J32" s="56"/>
      <c r="K32" s="56"/>
      <c r="L32" s="56"/>
      <c r="M32" s="56"/>
      <c r="N32" s="20">
        <v>1</v>
      </c>
      <c r="O32" s="4" t="s">
        <v>311</v>
      </c>
      <c r="P32" s="20">
        <v>1709</v>
      </c>
      <c r="Q32" s="20">
        <v>56.1</v>
      </c>
      <c r="R32" s="20">
        <v>584</v>
      </c>
      <c r="S32" s="20">
        <v>47.3</v>
      </c>
      <c r="T32" s="20">
        <v>2293</v>
      </c>
      <c r="U32" s="95">
        <f>(T32/T41)*100</f>
        <v>53.574766355140191</v>
      </c>
      <c r="V32" s="56"/>
      <c r="W32" s="56"/>
      <c r="X32" s="56"/>
      <c r="Y32" s="56"/>
      <c r="Z32" s="56"/>
    </row>
    <row r="33" spans="1:26" ht="22.5" customHeight="1" x14ac:dyDescent="0.25">
      <c r="A33" s="96" t="s">
        <v>11</v>
      </c>
      <c r="B33" s="97">
        <v>429</v>
      </c>
      <c r="C33" s="98">
        <f>(B33/B40)*100</f>
        <v>14.088669950738916</v>
      </c>
      <c r="D33" s="99">
        <v>215</v>
      </c>
      <c r="E33" s="98">
        <f>(D33/D40)*100</f>
        <v>17.408906882591094</v>
      </c>
      <c r="F33" s="97">
        <v>644</v>
      </c>
      <c r="G33" s="100">
        <v>15.05</v>
      </c>
      <c r="H33" s="56"/>
      <c r="I33" s="56"/>
      <c r="J33" s="56"/>
      <c r="K33" s="56"/>
      <c r="L33" s="56"/>
      <c r="M33" s="56"/>
      <c r="N33" s="20">
        <v>2</v>
      </c>
      <c r="O33" s="4" t="s">
        <v>312</v>
      </c>
      <c r="P33" s="20">
        <v>316</v>
      </c>
      <c r="Q33" s="20">
        <v>10.4</v>
      </c>
      <c r="R33" s="20">
        <v>271</v>
      </c>
      <c r="S33" s="20">
        <v>21.9</v>
      </c>
      <c r="T33" s="20">
        <v>587</v>
      </c>
      <c r="U33" s="95">
        <f>(T33/T41)*100</f>
        <v>13.714953271028039</v>
      </c>
      <c r="V33" s="56"/>
      <c r="W33" s="56"/>
      <c r="X33" s="56"/>
      <c r="Y33" s="56"/>
      <c r="Z33" s="56"/>
    </row>
    <row r="34" spans="1:26" ht="22.5" customHeight="1" x14ac:dyDescent="0.25">
      <c r="A34" s="96" t="s">
        <v>18</v>
      </c>
      <c r="B34" s="97">
        <v>341</v>
      </c>
      <c r="C34" s="98">
        <f>(B34/B40)*100</f>
        <v>11.198686371100164</v>
      </c>
      <c r="D34" s="99">
        <v>163</v>
      </c>
      <c r="E34" s="98">
        <f>(D34/D40)*100</f>
        <v>13.198380566801621</v>
      </c>
      <c r="F34" s="97">
        <v>504</v>
      </c>
      <c r="G34" s="100">
        <v>11.78</v>
      </c>
      <c r="H34" s="101"/>
      <c r="I34" s="56"/>
      <c r="J34" s="56"/>
      <c r="K34" s="56"/>
      <c r="L34" s="56"/>
      <c r="M34" s="56"/>
      <c r="N34" s="20">
        <v>3</v>
      </c>
      <c r="O34" s="4" t="s">
        <v>313</v>
      </c>
      <c r="P34" s="20">
        <v>749</v>
      </c>
      <c r="Q34" s="20">
        <v>24.6</v>
      </c>
      <c r="R34" s="20">
        <v>302</v>
      </c>
      <c r="S34" s="20">
        <v>24.5</v>
      </c>
      <c r="T34" s="20">
        <v>1051</v>
      </c>
      <c r="U34" s="95">
        <f>(T34/T41)*100</f>
        <v>24.556074766355142</v>
      </c>
      <c r="V34" s="56"/>
      <c r="W34" s="56"/>
      <c r="X34" s="56"/>
      <c r="Y34" s="56"/>
      <c r="Z34" s="56"/>
    </row>
    <row r="35" spans="1:26" ht="22.5" customHeight="1" x14ac:dyDescent="0.25">
      <c r="A35" s="96" t="s">
        <v>23</v>
      </c>
      <c r="B35" s="102">
        <v>1179</v>
      </c>
      <c r="C35" s="98">
        <f>(B35/B40)*100</f>
        <v>38.7192118226601</v>
      </c>
      <c r="D35" s="99">
        <v>160</v>
      </c>
      <c r="E35" s="98">
        <f>(D35/D40)*100</f>
        <v>12.955465587044534</v>
      </c>
      <c r="F35" s="102">
        <v>1339</v>
      </c>
      <c r="G35" s="100">
        <v>31.29</v>
      </c>
      <c r="H35" s="101"/>
      <c r="I35" s="56"/>
      <c r="J35" s="56"/>
      <c r="K35" s="56"/>
      <c r="L35" s="56"/>
      <c r="M35" s="56"/>
      <c r="N35" s="20">
        <v>4</v>
      </c>
      <c r="O35" s="4" t="s">
        <v>314</v>
      </c>
      <c r="P35" s="20">
        <v>10</v>
      </c>
      <c r="Q35" s="20">
        <v>0.3</v>
      </c>
      <c r="R35" s="20">
        <v>4</v>
      </c>
      <c r="S35" s="20">
        <v>0.3</v>
      </c>
      <c r="T35" s="20">
        <v>14</v>
      </c>
      <c r="U35" s="95">
        <f>(T35/T41)*100</f>
        <v>0.32710280373831779</v>
      </c>
      <c r="V35" s="56"/>
      <c r="W35" s="56"/>
      <c r="X35" s="56"/>
      <c r="Y35" s="56"/>
      <c r="Z35" s="56"/>
    </row>
    <row r="36" spans="1:26" ht="22.5" customHeight="1" x14ac:dyDescent="0.25">
      <c r="A36" s="96" t="s">
        <v>28</v>
      </c>
      <c r="B36" s="97">
        <v>297</v>
      </c>
      <c r="C36" s="98">
        <f>(B36/B40)*100</f>
        <v>9.7536945812807883</v>
      </c>
      <c r="D36" s="99">
        <v>169</v>
      </c>
      <c r="E36" s="98">
        <f>(D36/D40)*100</f>
        <v>13.684210526315791</v>
      </c>
      <c r="F36" s="97">
        <v>466</v>
      </c>
      <c r="G36" s="100">
        <v>10.89</v>
      </c>
      <c r="H36" s="101"/>
      <c r="I36" s="56"/>
      <c r="J36" s="56"/>
      <c r="L36" s="56"/>
      <c r="M36" s="56"/>
      <c r="N36" s="20">
        <v>5</v>
      </c>
      <c r="O36" s="4" t="s">
        <v>315</v>
      </c>
      <c r="P36" s="20">
        <v>29</v>
      </c>
      <c r="Q36" s="20">
        <v>1</v>
      </c>
      <c r="R36" s="20">
        <v>2</v>
      </c>
      <c r="S36" s="20">
        <v>0.2</v>
      </c>
      <c r="T36" s="20">
        <v>31</v>
      </c>
      <c r="U36" s="95">
        <f>(T36/T41)*100</f>
        <v>0.72429906542056077</v>
      </c>
      <c r="V36" s="56"/>
      <c r="W36" s="56"/>
      <c r="X36" s="56"/>
      <c r="Y36" s="56"/>
      <c r="Z36" s="56"/>
    </row>
    <row r="37" spans="1:26" ht="22.5" customHeight="1" x14ac:dyDescent="0.25">
      <c r="A37" s="96" t="s">
        <v>33</v>
      </c>
      <c r="B37" s="97">
        <v>346</v>
      </c>
      <c r="C37" s="98">
        <f>(B37/B40)*100</f>
        <v>11.362889983579638</v>
      </c>
      <c r="D37" s="99">
        <v>204</v>
      </c>
      <c r="E37" s="98">
        <f>(D37/D40)*100</f>
        <v>16.518218623481783</v>
      </c>
      <c r="F37" s="97">
        <v>550</v>
      </c>
      <c r="G37" s="100">
        <v>12.85</v>
      </c>
      <c r="H37" s="101"/>
      <c r="I37" s="56"/>
      <c r="J37" s="56"/>
      <c r="L37" s="56"/>
      <c r="M37" s="56"/>
      <c r="N37" s="20">
        <v>6</v>
      </c>
      <c r="O37" s="4" t="s">
        <v>316</v>
      </c>
      <c r="P37" s="20">
        <v>29</v>
      </c>
      <c r="Q37" s="20">
        <v>1</v>
      </c>
      <c r="R37" s="20">
        <v>65</v>
      </c>
      <c r="S37" s="20">
        <v>5.3</v>
      </c>
      <c r="T37" s="20">
        <v>94</v>
      </c>
      <c r="U37" s="95">
        <f t="shared" ref="U37:U41" si="1">(T37/$T$41)*100</f>
        <v>2.1962616822429908</v>
      </c>
      <c r="V37" s="56"/>
      <c r="W37" s="56"/>
      <c r="X37" s="56"/>
      <c r="Y37" s="56"/>
      <c r="Z37" s="56"/>
    </row>
    <row r="38" spans="1:26" ht="22.5" customHeight="1" x14ac:dyDescent="0.25">
      <c r="A38" s="96" t="s">
        <v>38</v>
      </c>
      <c r="B38" s="97">
        <v>202</v>
      </c>
      <c r="C38" s="98">
        <f>(B38/B40)*100</f>
        <v>6.6338259441707725</v>
      </c>
      <c r="D38" s="99">
        <v>164</v>
      </c>
      <c r="E38" s="98">
        <f>(D38/D40)*100</f>
        <v>13.279352226720647</v>
      </c>
      <c r="F38" s="97">
        <v>366</v>
      </c>
      <c r="G38" s="100">
        <v>8.5500000000000007</v>
      </c>
      <c r="H38" s="101"/>
      <c r="I38" s="56"/>
      <c r="J38" s="56"/>
      <c r="L38" s="56"/>
      <c r="M38" s="56"/>
      <c r="N38" s="20">
        <v>7</v>
      </c>
      <c r="O38" s="4" t="s">
        <v>317</v>
      </c>
      <c r="P38" s="20">
        <v>1</v>
      </c>
      <c r="Q38" s="20">
        <v>0</v>
      </c>
      <c r="R38" s="20">
        <v>0</v>
      </c>
      <c r="S38" s="20">
        <v>0</v>
      </c>
      <c r="T38" s="20">
        <v>1</v>
      </c>
      <c r="U38" s="95">
        <f t="shared" si="1"/>
        <v>2.3364485981308414E-2</v>
      </c>
      <c r="V38" s="56"/>
      <c r="W38" s="56"/>
      <c r="X38" s="56"/>
      <c r="Y38" s="56"/>
      <c r="Z38" s="56"/>
    </row>
    <row r="39" spans="1:26" ht="22.5" customHeight="1" x14ac:dyDescent="0.25">
      <c r="A39" s="96" t="s">
        <v>42</v>
      </c>
      <c r="B39" s="97">
        <v>251</v>
      </c>
      <c r="C39" s="98">
        <f>(B39/B40)*100</f>
        <v>8.2430213464696234</v>
      </c>
      <c r="D39" s="99">
        <v>160</v>
      </c>
      <c r="E39" s="98">
        <f>(D39/D40)*100</f>
        <v>12.955465587044534</v>
      </c>
      <c r="F39" s="97">
        <v>411</v>
      </c>
      <c r="G39" s="100">
        <v>9.6</v>
      </c>
      <c r="H39" s="101"/>
      <c r="I39" s="56"/>
      <c r="J39" s="56"/>
      <c r="L39" s="56"/>
      <c r="M39" s="56"/>
      <c r="N39" s="20">
        <v>8</v>
      </c>
      <c r="O39" s="4" t="s">
        <v>318</v>
      </c>
      <c r="P39" s="20">
        <v>198</v>
      </c>
      <c r="Q39" s="20">
        <v>6.5</v>
      </c>
      <c r="R39" s="20">
        <v>7</v>
      </c>
      <c r="S39" s="20">
        <v>0.6</v>
      </c>
      <c r="T39" s="20">
        <v>205</v>
      </c>
      <c r="U39" s="95">
        <f t="shared" si="1"/>
        <v>4.7897196261682238</v>
      </c>
      <c r="V39" s="56"/>
      <c r="W39" s="56"/>
      <c r="X39" s="56"/>
      <c r="Y39" s="56"/>
      <c r="Z39" s="56"/>
    </row>
    <row r="40" spans="1:26" ht="22.5" customHeight="1" x14ac:dyDescent="0.25">
      <c r="A40" s="96" t="s">
        <v>47</v>
      </c>
      <c r="B40" s="103">
        <v>3045</v>
      </c>
      <c r="C40" s="104">
        <f>SUM(C33:C39)</f>
        <v>99.999999999999986</v>
      </c>
      <c r="D40" s="105">
        <v>1235</v>
      </c>
      <c r="E40" s="104">
        <f>SUM(E33:E39)</f>
        <v>100</v>
      </c>
      <c r="F40" s="103">
        <v>4280</v>
      </c>
      <c r="G40" s="106">
        <v>100</v>
      </c>
      <c r="H40" s="90"/>
      <c r="I40" s="56"/>
      <c r="J40" s="56"/>
      <c r="L40" s="56"/>
      <c r="M40" s="56"/>
      <c r="N40" s="20">
        <v>9</v>
      </c>
      <c r="O40" s="4" t="s">
        <v>319</v>
      </c>
      <c r="P40" s="20">
        <v>4</v>
      </c>
      <c r="Q40" s="20">
        <v>0.1</v>
      </c>
      <c r="R40" s="20">
        <v>0</v>
      </c>
      <c r="S40" s="20">
        <v>0</v>
      </c>
      <c r="T40" s="20">
        <v>4</v>
      </c>
      <c r="U40" s="95">
        <f t="shared" si="1"/>
        <v>9.3457943925233655E-2</v>
      </c>
      <c r="V40" s="56"/>
      <c r="W40" s="56"/>
      <c r="X40" s="56"/>
      <c r="Y40" s="56"/>
      <c r="Z40" s="56"/>
    </row>
    <row r="41" spans="1:26" ht="22.5" customHeight="1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L41" s="56"/>
      <c r="M41" s="56"/>
      <c r="N41" s="20"/>
      <c r="O41" s="5" t="s">
        <v>47</v>
      </c>
      <c r="P41" s="25">
        <v>3045</v>
      </c>
      <c r="Q41" s="25">
        <v>100</v>
      </c>
      <c r="R41" s="25">
        <v>1235</v>
      </c>
      <c r="S41" s="25">
        <v>100</v>
      </c>
      <c r="T41" s="25">
        <v>4280</v>
      </c>
      <c r="U41" s="107">
        <f t="shared" si="1"/>
        <v>100</v>
      </c>
      <c r="V41" s="56"/>
      <c r="W41" s="56"/>
      <c r="X41" s="56"/>
      <c r="Y41" s="56"/>
      <c r="Z41" s="56"/>
    </row>
    <row r="42" spans="1:26" ht="12.75" x14ac:dyDescent="0.2">
      <c r="A42" s="108" t="s">
        <v>320</v>
      </c>
      <c r="B42" s="56"/>
      <c r="C42" s="56"/>
      <c r="D42" s="56"/>
      <c r="E42" s="56"/>
      <c r="F42" s="56"/>
      <c r="G42" s="56"/>
      <c r="H42" s="56"/>
      <c r="I42" s="56"/>
      <c r="J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2.75" x14ac:dyDescent="0.2">
      <c r="A43" s="56"/>
      <c r="B43" s="108"/>
      <c r="C43" s="108"/>
      <c r="D43" s="108"/>
      <c r="E43" s="56"/>
      <c r="F43" s="56"/>
      <c r="G43" s="56"/>
      <c r="H43" s="56"/>
      <c r="I43" s="56"/>
      <c r="J43" s="56"/>
      <c r="L43" s="56"/>
      <c r="M43" s="56"/>
      <c r="S43" s="56"/>
      <c r="T43" s="56"/>
      <c r="U43" s="56"/>
      <c r="V43" s="56"/>
      <c r="W43" s="56"/>
      <c r="X43" s="56"/>
      <c r="Y43" s="56"/>
      <c r="Z43" s="56"/>
    </row>
    <row r="44" spans="1:26" ht="22.5" customHeight="1" x14ac:dyDescent="0.2">
      <c r="A44" s="58" t="s">
        <v>8</v>
      </c>
      <c r="B44" s="1" t="s">
        <v>300</v>
      </c>
      <c r="C44" s="1" t="s">
        <v>233</v>
      </c>
      <c r="D44" s="1" t="s">
        <v>309</v>
      </c>
      <c r="E44" s="58" t="s">
        <v>263</v>
      </c>
      <c r="F44" s="58" t="s">
        <v>268</v>
      </c>
      <c r="G44" s="56"/>
      <c r="H44" s="56"/>
      <c r="I44" s="56"/>
      <c r="J44" s="56"/>
      <c r="L44" s="56"/>
      <c r="M44" s="56"/>
      <c r="S44" s="56"/>
      <c r="T44" s="56"/>
      <c r="U44" s="56"/>
      <c r="V44" s="56"/>
      <c r="W44" s="56"/>
      <c r="X44" s="56"/>
      <c r="Y44" s="56"/>
      <c r="Z44" s="56"/>
    </row>
    <row r="45" spans="1:26" ht="22.5" customHeight="1" x14ac:dyDescent="0.2">
      <c r="A45" s="5" t="s">
        <v>321</v>
      </c>
      <c r="B45" s="5" t="s">
        <v>300</v>
      </c>
      <c r="C45" s="5" t="s">
        <v>308</v>
      </c>
      <c r="D45" s="5" t="s">
        <v>309</v>
      </c>
      <c r="E45" s="5" t="s">
        <v>301</v>
      </c>
      <c r="F45" s="5" t="s">
        <v>59</v>
      </c>
      <c r="G45" s="56"/>
      <c r="H45" s="56"/>
      <c r="I45" s="56"/>
      <c r="J45" s="56"/>
      <c r="L45" s="56"/>
      <c r="M45" s="56"/>
      <c r="S45" s="56"/>
      <c r="T45" s="56"/>
      <c r="U45" s="56"/>
      <c r="V45" s="56"/>
      <c r="W45" s="56"/>
      <c r="X45" s="56"/>
      <c r="Y45" s="56"/>
      <c r="Z45" s="56"/>
    </row>
    <row r="46" spans="1:26" ht="22.5" customHeight="1" x14ac:dyDescent="0.2">
      <c r="A46" s="4" t="s">
        <v>212</v>
      </c>
      <c r="B46" s="4">
        <v>582</v>
      </c>
      <c r="C46" s="76">
        <f>(B46/B51)*100</f>
        <v>19.113300492610836</v>
      </c>
      <c r="D46" s="109">
        <v>274</v>
      </c>
      <c r="E46" s="76">
        <f>(D46/D51)*100</f>
        <v>22.186234817813766</v>
      </c>
      <c r="F46" s="4">
        <v>856</v>
      </c>
      <c r="G46" s="56"/>
      <c r="H46" s="56"/>
      <c r="I46" s="56"/>
      <c r="J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22.5" customHeight="1" x14ac:dyDescent="0.2">
      <c r="A47" s="4" t="s">
        <v>216</v>
      </c>
      <c r="B47" s="4">
        <v>569</v>
      </c>
      <c r="C47" s="76">
        <f>(B47/B51)*100</f>
        <v>18.686371100164205</v>
      </c>
      <c r="D47" s="109">
        <v>287</v>
      </c>
      <c r="E47" s="76">
        <f>(D47/D51)*100</f>
        <v>23.238866396761136</v>
      </c>
      <c r="F47" s="4">
        <v>856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22.5" customHeight="1" x14ac:dyDescent="0.2">
      <c r="A48" s="4" t="s">
        <v>220</v>
      </c>
      <c r="B48" s="4">
        <v>663</v>
      </c>
      <c r="C48" s="76">
        <f>(B48/B51)*100</f>
        <v>21.773399014778324</v>
      </c>
      <c r="D48" s="109">
        <v>193</v>
      </c>
      <c r="E48" s="76">
        <f>(D48/D51)*100</f>
        <v>15.627530364372468</v>
      </c>
      <c r="F48" s="4">
        <v>856</v>
      </c>
      <c r="G48" s="56"/>
      <c r="H48" s="56"/>
      <c r="I48" s="56"/>
      <c r="J48" s="56"/>
      <c r="K48" s="56"/>
      <c r="L48" s="56"/>
      <c r="M48" s="56"/>
      <c r="N48" s="2"/>
      <c r="O48" s="2"/>
      <c r="P48" s="2"/>
      <c r="Q48" s="2"/>
      <c r="R48" s="2"/>
      <c r="S48" s="2"/>
      <c r="T48" s="56"/>
      <c r="U48" s="56"/>
      <c r="V48" s="56"/>
      <c r="W48" s="56"/>
      <c r="X48" s="56"/>
      <c r="Y48" s="56"/>
      <c r="Z48" s="56"/>
    </row>
    <row r="49" spans="1:26" ht="22.5" customHeight="1" x14ac:dyDescent="0.2">
      <c r="A49" s="4" t="s">
        <v>224</v>
      </c>
      <c r="B49" s="4">
        <v>641</v>
      </c>
      <c r="C49" s="76">
        <f>(B49/B51)*100</f>
        <v>21.050903119868636</v>
      </c>
      <c r="D49" s="109">
        <v>215</v>
      </c>
      <c r="E49" s="76">
        <f>(D49/D51)*100</f>
        <v>17.408906882591094</v>
      </c>
      <c r="F49" s="4">
        <v>856</v>
      </c>
      <c r="G49" s="56"/>
      <c r="H49" s="56"/>
      <c r="I49" s="56"/>
      <c r="J49" s="56"/>
      <c r="K49" s="56"/>
      <c r="L49" s="56"/>
      <c r="M49" s="56"/>
      <c r="N49" s="6"/>
      <c r="O49" s="6"/>
      <c r="P49" s="110"/>
      <c r="Q49" s="110"/>
      <c r="R49" s="6"/>
      <c r="S49" s="110"/>
      <c r="T49" s="56"/>
      <c r="U49" s="56"/>
      <c r="V49" s="56"/>
      <c r="W49" s="56"/>
      <c r="X49" s="56"/>
      <c r="Y49" s="56"/>
      <c r="Z49" s="56"/>
    </row>
    <row r="50" spans="1:26" ht="22.5" customHeight="1" x14ac:dyDescent="0.2">
      <c r="A50" s="4" t="s">
        <v>228</v>
      </c>
      <c r="B50" s="4">
        <v>590</v>
      </c>
      <c r="C50" s="76">
        <f>(B50/B51)*100</f>
        <v>19.376026272577999</v>
      </c>
      <c r="D50" s="109">
        <v>266</v>
      </c>
      <c r="E50" s="76">
        <f>(D50/D51)*100</f>
        <v>21.53846153846154</v>
      </c>
      <c r="F50" s="4">
        <v>856</v>
      </c>
      <c r="G50" s="56"/>
      <c r="H50" s="56"/>
      <c r="I50" s="56"/>
      <c r="J50" s="56"/>
      <c r="K50" s="56"/>
      <c r="L50" s="56"/>
      <c r="M50" s="56"/>
      <c r="N50" s="6"/>
      <c r="O50" s="6"/>
      <c r="P50" s="110"/>
      <c r="Q50" s="110"/>
      <c r="R50" s="6"/>
      <c r="S50" s="110"/>
      <c r="T50" s="56"/>
      <c r="U50" s="56"/>
      <c r="V50" s="56"/>
      <c r="W50" s="56"/>
      <c r="X50" s="56"/>
      <c r="Y50" s="56"/>
      <c r="Z50" s="56"/>
    </row>
    <row r="51" spans="1:26" ht="22.5" customHeight="1" x14ac:dyDescent="0.2">
      <c r="A51" s="5" t="s">
        <v>47</v>
      </c>
      <c r="B51" s="5">
        <v>3045</v>
      </c>
      <c r="C51" s="77">
        <f>SUM(C46:C50)</f>
        <v>100</v>
      </c>
      <c r="D51" s="111">
        <v>1235</v>
      </c>
      <c r="E51" s="77">
        <f>SUM(E46:E50)</f>
        <v>100</v>
      </c>
      <c r="F51" s="5">
        <v>4280</v>
      </c>
      <c r="G51" s="56"/>
      <c r="H51" s="56"/>
      <c r="I51" s="56"/>
      <c r="J51" s="56"/>
      <c r="K51" s="56"/>
      <c r="L51" s="56"/>
      <c r="M51" s="56"/>
      <c r="N51" s="6"/>
      <c r="O51" s="110"/>
      <c r="P51" s="110"/>
      <c r="Q51" s="110"/>
      <c r="R51" s="6"/>
      <c r="S51" s="110"/>
      <c r="T51" s="56"/>
      <c r="U51" s="56"/>
      <c r="V51" s="56"/>
      <c r="W51" s="56"/>
      <c r="X51" s="56"/>
      <c r="Y51" s="56"/>
      <c r="Z51" s="56"/>
    </row>
    <row r="52" spans="1:26" ht="12.75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6"/>
      <c r="O52" s="110"/>
      <c r="P52" s="110"/>
      <c r="Q52" s="110"/>
      <c r="R52" s="6"/>
      <c r="S52" s="110"/>
      <c r="T52" s="56"/>
      <c r="U52" s="56"/>
      <c r="V52" s="56"/>
      <c r="W52" s="56"/>
      <c r="X52" s="56"/>
      <c r="Y52" s="56"/>
      <c r="Z52" s="56"/>
    </row>
    <row r="53" spans="1:26" ht="12.75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2.75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108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2.75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2"/>
      <c r="O55" s="2"/>
      <c r="P55" s="2"/>
      <c r="Q55" s="2"/>
      <c r="R55" s="2"/>
      <c r="S55" s="2"/>
      <c r="T55" s="56"/>
      <c r="U55" s="56"/>
      <c r="V55" s="56"/>
      <c r="W55" s="56"/>
      <c r="X55" s="56"/>
      <c r="Y55" s="56"/>
      <c r="Z55" s="56"/>
    </row>
    <row r="56" spans="1:26" ht="12.75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6"/>
      <c r="O56" s="6"/>
      <c r="P56" s="110"/>
      <c r="Q56" s="110"/>
      <c r="R56" s="6"/>
      <c r="S56" s="110"/>
      <c r="T56" s="56"/>
      <c r="U56" s="56"/>
      <c r="V56" s="56"/>
      <c r="W56" s="56"/>
      <c r="X56" s="56"/>
      <c r="Y56" s="56"/>
      <c r="Z56" s="56"/>
    </row>
    <row r="57" spans="1:26" ht="12.75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6"/>
      <c r="O57" s="6"/>
      <c r="P57" s="110"/>
      <c r="Q57" s="110"/>
      <c r="R57" s="6"/>
      <c r="S57" s="110"/>
      <c r="T57" s="56"/>
      <c r="U57" s="56"/>
      <c r="V57" s="56"/>
      <c r="W57" s="56"/>
      <c r="X57" s="56"/>
      <c r="Y57" s="56"/>
      <c r="Z57" s="56"/>
    </row>
    <row r="58" spans="1:26" ht="12.75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6"/>
      <c r="O58" s="6"/>
      <c r="P58" s="110"/>
      <c r="Q58" s="110"/>
      <c r="R58" s="6"/>
      <c r="S58" s="110"/>
      <c r="T58" s="56"/>
      <c r="U58" s="56"/>
      <c r="V58" s="56"/>
      <c r="W58" s="56"/>
      <c r="X58" s="56"/>
      <c r="Y58" s="56"/>
      <c r="Z58" s="56"/>
    </row>
    <row r="59" spans="1:26" ht="12.75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6"/>
      <c r="O59" s="6"/>
      <c r="P59" s="110"/>
      <c r="Q59" s="110"/>
      <c r="R59" s="6"/>
      <c r="S59" s="110"/>
      <c r="T59" s="56"/>
      <c r="U59" s="56"/>
      <c r="V59" s="56"/>
      <c r="W59" s="56"/>
      <c r="X59" s="56"/>
      <c r="Y59" s="56"/>
      <c r="Z59" s="56"/>
    </row>
    <row r="60" spans="1:26" ht="12.75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6"/>
      <c r="O60" s="6"/>
      <c r="P60" s="110"/>
      <c r="Q60" s="110"/>
      <c r="R60" s="6"/>
      <c r="S60" s="110"/>
      <c r="T60" s="56"/>
      <c r="U60" s="56"/>
      <c r="V60" s="56"/>
      <c r="W60" s="56"/>
      <c r="X60" s="56"/>
      <c r="Y60" s="56"/>
      <c r="Z60" s="56"/>
    </row>
    <row r="61" spans="1:26" ht="12.75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2.75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2.75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2"/>
      <c r="O63" s="2"/>
      <c r="P63" s="2"/>
      <c r="Q63" s="2"/>
      <c r="R63" s="2"/>
      <c r="S63" s="2"/>
      <c r="T63" s="56"/>
      <c r="U63" s="56"/>
      <c r="V63" s="56"/>
      <c r="W63" s="56"/>
      <c r="X63" s="56"/>
      <c r="Y63" s="56"/>
      <c r="Z63" s="56"/>
    </row>
    <row r="64" spans="1:26" ht="12.75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6"/>
      <c r="O64" s="110"/>
      <c r="P64" s="110"/>
      <c r="Q64" s="110"/>
      <c r="R64" s="6"/>
      <c r="S64" s="110"/>
      <c r="T64" s="56"/>
      <c r="U64" s="56"/>
      <c r="V64" s="56"/>
      <c r="W64" s="56"/>
      <c r="X64" s="56"/>
      <c r="Y64" s="56"/>
      <c r="Z64" s="56"/>
    </row>
    <row r="65" spans="1:26" ht="12.75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6"/>
      <c r="O65" s="110"/>
      <c r="P65" s="110"/>
      <c r="Q65" s="110"/>
      <c r="R65" s="6"/>
      <c r="S65" s="110"/>
      <c r="T65" s="56"/>
      <c r="U65" s="56"/>
      <c r="V65" s="56"/>
      <c r="W65" s="56"/>
      <c r="X65" s="56"/>
      <c r="Y65" s="56"/>
      <c r="Z65" s="56"/>
    </row>
    <row r="66" spans="1:26" ht="12.75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6"/>
      <c r="O66" s="6"/>
      <c r="P66" s="110"/>
      <c r="Q66" s="110"/>
      <c r="R66" s="6"/>
      <c r="S66" s="110"/>
      <c r="T66" s="56"/>
      <c r="U66" s="56"/>
      <c r="V66" s="56"/>
      <c r="W66" s="56"/>
      <c r="X66" s="56"/>
      <c r="Y66" s="56"/>
      <c r="Z66" s="56"/>
    </row>
    <row r="67" spans="1:26" ht="12.75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6"/>
      <c r="O67" s="6"/>
      <c r="P67" s="110"/>
      <c r="Q67" s="110"/>
      <c r="R67" s="6"/>
      <c r="S67" s="110"/>
      <c r="T67" s="56"/>
      <c r="U67" s="56"/>
      <c r="V67" s="56"/>
      <c r="W67" s="56"/>
      <c r="X67" s="56"/>
      <c r="Y67" s="56"/>
      <c r="Z67" s="56"/>
    </row>
    <row r="68" spans="1:26" ht="12.75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2.75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2.75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2"/>
      <c r="O70" s="2"/>
      <c r="P70" s="2"/>
      <c r="Q70" s="2"/>
      <c r="R70" s="2"/>
      <c r="S70" s="2"/>
      <c r="T70" s="56"/>
      <c r="U70" s="56"/>
      <c r="V70" s="56"/>
      <c r="W70" s="56"/>
      <c r="X70" s="56"/>
      <c r="Y70" s="56"/>
      <c r="Z70" s="56"/>
    </row>
    <row r="71" spans="1:26" ht="12.75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6"/>
      <c r="O71" s="6"/>
      <c r="P71" s="110"/>
      <c r="Q71" s="110"/>
      <c r="R71" s="6"/>
      <c r="S71" s="110"/>
      <c r="T71" s="56"/>
      <c r="U71" s="56"/>
      <c r="V71" s="56"/>
      <c r="W71" s="56"/>
      <c r="X71" s="56"/>
      <c r="Y71" s="56"/>
      <c r="Z71" s="56"/>
    </row>
    <row r="72" spans="1:26" ht="12.75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6"/>
      <c r="O72" s="6"/>
      <c r="P72" s="110"/>
      <c r="Q72" s="110"/>
      <c r="R72" s="6"/>
      <c r="S72" s="110"/>
      <c r="T72" s="56"/>
      <c r="U72" s="56"/>
      <c r="V72" s="56"/>
      <c r="W72" s="56"/>
      <c r="X72" s="56"/>
      <c r="Y72" s="56"/>
      <c r="Z72" s="56"/>
    </row>
    <row r="73" spans="1:26" ht="12.75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6"/>
      <c r="O73" s="110"/>
      <c r="P73" s="110"/>
      <c r="Q73" s="110"/>
      <c r="R73" s="6"/>
      <c r="S73" s="110"/>
      <c r="T73" s="56"/>
      <c r="U73" s="56"/>
      <c r="V73" s="56"/>
      <c r="W73" s="56"/>
      <c r="X73" s="56"/>
      <c r="Y73" s="56"/>
      <c r="Z73" s="56"/>
    </row>
    <row r="74" spans="1:26" ht="12.75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6"/>
      <c r="O74" s="6"/>
      <c r="P74" s="110"/>
      <c r="Q74" s="110"/>
      <c r="R74" s="6"/>
      <c r="S74" s="110"/>
      <c r="T74" s="56"/>
      <c r="U74" s="56"/>
      <c r="V74" s="56"/>
      <c r="W74" s="56"/>
      <c r="X74" s="56"/>
      <c r="Y74" s="56"/>
      <c r="Z74" s="56"/>
    </row>
    <row r="75" spans="1:26" ht="12.75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6"/>
      <c r="O75" s="6"/>
      <c r="P75" s="110"/>
      <c r="Q75" s="110"/>
      <c r="R75" s="6"/>
      <c r="S75" s="110"/>
      <c r="T75" s="56"/>
      <c r="U75" s="56"/>
      <c r="V75" s="56"/>
      <c r="W75" s="56"/>
      <c r="X75" s="56"/>
      <c r="Y75" s="56"/>
      <c r="Z75" s="56"/>
    </row>
    <row r="76" spans="1:26" ht="12.75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6"/>
      <c r="O76" s="6"/>
      <c r="P76" s="110"/>
      <c r="Q76" s="110"/>
      <c r="R76" s="6"/>
      <c r="S76" s="110"/>
      <c r="T76" s="56"/>
      <c r="U76" s="56"/>
      <c r="V76" s="56"/>
      <c r="W76" s="56"/>
      <c r="X76" s="56"/>
      <c r="Y76" s="56"/>
      <c r="Z76" s="56"/>
    </row>
    <row r="77" spans="1:26" ht="12.75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6"/>
      <c r="O77" s="6"/>
      <c r="P77" s="110"/>
      <c r="Q77" s="110"/>
      <c r="R77" s="6"/>
      <c r="S77" s="56"/>
      <c r="T77" s="56"/>
      <c r="U77" s="56"/>
      <c r="V77" s="56"/>
      <c r="W77" s="56"/>
      <c r="X77" s="56"/>
      <c r="Y77" s="56"/>
      <c r="Z77" s="56"/>
    </row>
    <row r="78" spans="1:26" ht="12.75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2.75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2.75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2.75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2.75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2"/>
      <c r="O82" s="2"/>
      <c r="P82" s="2"/>
      <c r="Q82" s="2"/>
      <c r="R82" s="2"/>
      <c r="S82" s="2"/>
      <c r="T82" s="56"/>
      <c r="U82" s="56"/>
      <c r="V82" s="56"/>
      <c r="W82" s="56"/>
      <c r="X82" s="56"/>
      <c r="Y82" s="56"/>
      <c r="Z82" s="56"/>
    </row>
    <row r="83" spans="1:26" ht="12.75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6"/>
      <c r="O83" s="110"/>
      <c r="P83" s="110"/>
      <c r="Q83" s="110"/>
      <c r="R83" s="6"/>
      <c r="S83" s="110"/>
      <c r="T83" s="56"/>
      <c r="U83" s="56"/>
      <c r="V83" s="56"/>
      <c r="W83" s="56"/>
      <c r="X83" s="56"/>
      <c r="Y83" s="56"/>
      <c r="Z83" s="56"/>
    </row>
    <row r="84" spans="1:26" ht="12.75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6"/>
      <c r="O84" s="6"/>
      <c r="P84" s="110"/>
      <c r="Q84" s="110"/>
      <c r="R84" s="6"/>
      <c r="S84" s="110"/>
      <c r="T84" s="56"/>
      <c r="U84" s="56"/>
      <c r="V84" s="56"/>
      <c r="W84" s="56"/>
      <c r="X84" s="56"/>
      <c r="Y84" s="56"/>
      <c r="Z84" s="56"/>
    </row>
    <row r="85" spans="1:26" ht="12.75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2.75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2.75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2.75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2.75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2.75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2.75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2.75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2.75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2.75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2.75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2.75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2.75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2.75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2.75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2.75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2.75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2.75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2.75" x14ac:dyDescent="0.2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2.75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2.75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2.75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2.75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2.75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2.75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2.75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2.75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2.75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2.75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2.75" x14ac:dyDescent="0.2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2.75" x14ac:dyDescent="0.2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2.75" x14ac:dyDescent="0.2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2.75" x14ac:dyDescent="0.2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2.75" x14ac:dyDescent="0.2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2.75" x14ac:dyDescent="0.2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2.75" x14ac:dyDescent="0.2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2.75" x14ac:dyDescent="0.2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2.75" x14ac:dyDescent="0.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2.75" x14ac:dyDescent="0.2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2.75" x14ac:dyDescent="0.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2.75" x14ac:dyDescent="0.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2.75" x14ac:dyDescent="0.2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2.75" x14ac:dyDescent="0.2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2.75" x14ac:dyDescent="0.2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2.75" x14ac:dyDescent="0.2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2.75" x14ac:dyDescent="0.2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2.75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2.75" x14ac:dyDescent="0.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2.75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2.75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2.75" x14ac:dyDescent="0.2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2.75" x14ac:dyDescent="0.2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2.75" x14ac:dyDescent="0.2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2.75" x14ac:dyDescent="0.2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2.75" x14ac:dyDescent="0.2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2.75" x14ac:dyDescent="0.2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2.75" x14ac:dyDescent="0.2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2.75" x14ac:dyDescent="0.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2.75" x14ac:dyDescent="0.2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2.75" x14ac:dyDescent="0.2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2.75" x14ac:dyDescent="0.2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2.75" x14ac:dyDescent="0.2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2.75" x14ac:dyDescent="0.2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2.75" x14ac:dyDescent="0.2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2.75" x14ac:dyDescent="0.2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2.75" x14ac:dyDescent="0.2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2.75" x14ac:dyDescent="0.2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2.75" x14ac:dyDescent="0.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2.75" x14ac:dyDescent="0.2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2.75" x14ac:dyDescent="0.2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2.75" x14ac:dyDescent="0.2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2.75" x14ac:dyDescent="0.2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2.75" x14ac:dyDescent="0.2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2.75" x14ac:dyDescent="0.2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2.75" x14ac:dyDescent="0.2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2.75" x14ac:dyDescent="0.2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2.75" x14ac:dyDescent="0.2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2.75" x14ac:dyDescent="0.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2.75" x14ac:dyDescent="0.2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2.75" x14ac:dyDescent="0.2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2.75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2.75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2.75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2.75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2.75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2.75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2.75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2.75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2.75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2.75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2.75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2.75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2.75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2.75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2.75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2.75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2.75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2.75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2.75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2.75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2.75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2.75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2.75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2.75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2.75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2.75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2.75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2.75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2.75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2.75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2.75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2.75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2.75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2.75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2.75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2.75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2.75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2.75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2.75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2.75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2.75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2.75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2.75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2.75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2.75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2.75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2.75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2.75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2.75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2.75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2.75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2.75" x14ac:dyDescent="0.2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2.75" x14ac:dyDescent="0.2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2.75" x14ac:dyDescent="0.2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2.75" x14ac:dyDescent="0.2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2.75" x14ac:dyDescent="0.2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2.75" x14ac:dyDescent="0.2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2.75" x14ac:dyDescent="0.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2.75" x14ac:dyDescent="0.2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2.75" x14ac:dyDescent="0.2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2.75" x14ac:dyDescent="0.2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2.75" x14ac:dyDescent="0.2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2.75" x14ac:dyDescent="0.2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2.75" x14ac:dyDescent="0.2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2.75" x14ac:dyDescent="0.2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2.75" x14ac:dyDescent="0.2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2.75" x14ac:dyDescent="0.2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2.75" x14ac:dyDescent="0.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2.75" x14ac:dyDescent="0.2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2.75" x14ac:dyDescent="0.2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2.75" x14ac:dyDescent="0.2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2.75" x14ac:dyDescent="0.2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2.75" x14ac:dyDescent="0.2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2.75" x14ac:dyDescent="0.2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2.75" x14ac:dyDescent="0.2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2.75" x14ac:dyDescent="0.2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2.75" x14ac:dyDescent="0.2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2.75" x14ac:dyDescent="0.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2.75" x14ac:dyDescent="0.2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2.75" x14ac:dyDescent="0.2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2.75" x14ac:dyDescent="0.2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2.75" x14ac:dyDescent="0.2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2.75" x14ac:dyDescent="0.2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2.75" x14ac:dyDescent="0.2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2.75" x14ac:dyDescent="0.2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2.75" x14ac:dyDescent="0.2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2.75" x14ac:dyDescent="0.2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2.75" x14ac:dyDescent="0.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2.75" x14ac:dyDescent="0.2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2.75" x14ac:dyDescent="0.2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2.75" x14ac:dyDescent="0.2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2.75" x14ac:dyDescent="0.2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2.75" x14ac:dyDescent="0.2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2.75" x14ac:dyDescent="0.2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2.75" x14ac:dyDescent="0.2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2.75" x14ac:dyDescent="0.2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2.75" x14ac:dyDescent="0.2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2.75" x14ac:dyDescent="0.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2.75" x14ac:dyDescent="0.2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2.75" x14ac:dyDescent="0.2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2.75" x14ac:dyDescent="0.2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2.75" x14ac:dyDescent="0.2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2.75" x14ac:dyDescent="0.2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2.75" x14ac:dyDescent="0.2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2.75" x14ac:dyDescent="0.2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2.75" x14ac:dyDescent="0.2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2.75" x14ac:dyDescent="0.2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2.75" x14ac:dyDescent="0.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2.75" x14ac:dyDescent="0.2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2.75" x14ac:dyDescent="0.2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2.75" x14ac:dyDescent="0.2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2.75" x14ac:dyDescent="0.2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2.75" x14ac:dyDescent="0.2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2.75" x14ac:dyDescent="0.2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2.75" x14ac:dyDescent="0.2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2.75" x14ac:dyDescent="0.2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2.75" x14ac:dyDescent="0.2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2.75" x14ac:dyDescent="0.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2.75" x14ac:dyDescent="0.2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2.75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2.75" x14ac:dyDescent="0.2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2.75" x14ac:dyDescent="0.2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2.75" x14ac:dyDescent="0.2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2.75" x14ac:dyDescent="0.2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2.75" x14ac:dyDescent="0.2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2.75" x14ac:dyDescent="0.2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2.75" x14ac:dyDescent="0.2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2.75" x14ac:dyDescent="0.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2.75" x14ac:dyDescent="0.2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2.75" x14ac:dyDescent="0.2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2.75" x14ac:dyDescent="0.2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2.75" x14ac:dyDescent="0.2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2.75" x14ac:dyDescent="0.2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2.75" x14ac:dyDescent="0.2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2.75" x14ac:dyDescent="0.2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2.75" x14ac:dyDescent="0.2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2.75" x14ac:dyDescent="0.2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2.75" x14ac:dyDescent="0.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2.75" x14ac:dyDescent="0.2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2.75" x14ac:dyDescent="0.2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2.75" x14ac:dyDescent="0.2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2.75" x14ac:dyDescent="0.2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2.75" x14ac:dyDescent="0.2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2.75" x14ac:dyDescent="0.2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2.75" x14ac:dyDescent="0.2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2.75" x14ac:dyDescent="0.2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2.75" x14ac:dyDescent="0.2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2.75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2.75" x14ac:dyDescent="0.2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2.75" x14ac:dyDescent="0.2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2.75" x14ac:dyDescent="0.2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2.75" x14ac:dyDescent="0.2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2.75" x14ac:dyDescent="0.2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2.75" x14ac:dyDescent="0.2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2.75" x14ac:dyDescent="0.2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2.75" x14ac:dyDescent="0.2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2.75" x14ac:dyDescent="0.2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2.75" x14ac:dyDescent="0.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2.75" x14ac:dyDescent="0.2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2.75" x14ac:dyDescent="0.2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2.75" x14ac:dyDescent="0.2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2.75" x14ac:dyDescent="0.2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2.75" x14ac:dyDescent="0.2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2.75" x14ac:dyDescent="0.2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2.75" x14ac:dyDescent="0.2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2.75" x14ac:dyDescent="0.2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2.75" x14ac:dyDescent="0.2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2.75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2.75" x14ac:dyDescent="0.2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2.75" x14ac:dyDescent="0.2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2.75" x14ac:dyDescent="0.2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2.75" x14ac:dyDescent="0.2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2.75" x14ac:dyDescent="0.2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2.75" x14ac:dyDescent="0.2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2.75" x14ac:dyDescent="0.2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2.75" x14ac:dyDescent="0.2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2.75" x14ac:dyDescent="0.2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2.75" x14ac:dyDescent="0.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2.75" x14ac:dyDescent="0.2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2.75" x14ac:dyDescent="0.2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2.75" x14ac:dyDescent="0.2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2.75" x14ac:dyDescent="0.2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2.75" x14ac:dyDescent="0.2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2.75" x14ac:dyDescent="0.2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2.75" x14ac:dyDescent="0.2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2.75" x14ac:dyDescent="0.2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2.75" x14ac:dyDescent="0.2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2.75" x14ac:dyDescent="0.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2.75" x14ac:dyDescent="0.2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2.75" x14ac:dyDescent="0.2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2.75" x14ac:dyDescent="0.2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2.75" x14ac:dyDescent="0.2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2.75" x14ac:dyDescent="0.2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2.75" x14ac:dyDescent="0.2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2.75" x14ac:dyDescent="0.2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2.75" x14ac:dyDescent="0.2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2.75" x14ac:dyDescent="0.2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2.75" x14ac:dyDescent="0.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2.75" x14ac:dyDescent="0.2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2.75" x14ac:dyDescent="0.2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2.75" x14ac:dyDescent="0.2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2.75" x14ac:dyDescent="0.2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2.75" x14ac:dyDescent="0.2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2.75" x14ac:dyDescent="0.2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2.75" x14ac:dyDescent="0.2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2.75" x14ac:dyDescent="0.2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2.75" x14ac:dyDescent="0.2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2.75" x14ac:dyDescent="0.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2.75" x14ac:dyDescent="0.2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2.75" x14ac:dyDescent="0.2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2.75" x14ac:dyDescent="0.2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2.75" x14ac:dyDescent="0.2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2.75" x14ac:dyDescent="0.2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2.75" x14ac:dyDescent="0.2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2.75" x14ac:dyDescent="0.2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2.75" x14ac:dyDescent="0.2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2.75" x14ac:dyDescent="0.2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2.75" x14ac:dyDescent="0.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2.75" x14ac:dyDescent="0.2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2.75" x14ac:dyDescent="0.2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2.75" x14ac:dyDescent="0.2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2.75" x14ac:dyDescent="0.2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2.75" x14ac:dyDescent="0.2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2.75" x14ac:dyDescent="0.2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2.75" x14ac:dyDescent="0.2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2.75" x14ac:dyDescent="0.2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2.75" x14ac:dyDescent="0.2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2.75" x14ac:dyDescent="0.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2.75" x14ac:dyDescent="0.2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2.75" x14ac:dyDescent="0.2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2.75" x14ac:dyDescent="0.2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2.75" x14ac:dyDescent="0.2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2.75" x14ac:dyDescent="0.2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2.75" x14ac:dyDescent="0.2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2.75" x14ac:dyDescent="0.2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2.75" x14ac:dyDescent="0.2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2.75" x14ac:dyDescent="0.2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2.75" x14ac:dyDescent="0.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2.75" x14ac:dyDescent="0.2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2.75" x14ac:dyDescent="0.2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2.75" x14ac:dyDescent="0.2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2.75" x14ac:dyDescent="0.2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2.75" x14ac:dyDescent="0.2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2.75" x14ac:dyDescent="0.2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2.75" x14ac:dyDescent="0.2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2.75" x14ac:dyDescent="0.2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2.75" x14ac:dyDescent="0.2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2.75" x14ac:dyDescent="0.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2.75" x14ac:dyDescent="0.2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2.75" x14ac:dyDescent="0.2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2.75" x14ac:dyDescent="0.2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2.75" x14ac:dyDescent="0.2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2.75" x14ac:dyDescent="0.2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2.75" x14ac:dyDescent="0.2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2.75" x14ac:dyDescent="0.2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2.75" x14ac:dyDescent="0.2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2.75" x14ac:dyDescent="0.2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2.75" x14ac:dyDescent="0.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2.75" x14ac:dyDescent="0.2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2.75" x14ac:dyDescent="0.2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2.75" x14ac:dyDescent="0.2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2.75" x14ac:dyDescent="0.2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2.75" x14ac:dyDescent="0.2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2.75" x14ac:dyDescent="0.2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2.75" x14ac:dyDescent="0.2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2.75" x14ac:dyDescent="0.2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2.75" x14ac:dyDescent="0.2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2.75" x14ac:dyDescent="0.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2.75" x14ac:dyDescent="0.2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2.75" x14ac:dyDescent="0.2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2.75" x14ac:dyDescent="0.2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2.75" x14ac:dyDescent="0.2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2.75" x14ac:dyDescent="0.2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2.75" x14ac:dyDescent="0.2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2.75" x14ac:dyDescent="0.2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2.75" x14ac:dyDescent="0.2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2.75" x14ac:dyDescent="0.2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2.75" x14ac:dyDescent="0.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2.75" x14ac:dyDescent="0.2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2.75" x14ac:dyDescent="0.2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2.75" x14ac:dyDescent="0.2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2.75" x14ac:dyDescent="0.2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2.75" x14ac:dyDescent="0.2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2.75" x14ac:dyDescent="0.2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2.75" x14ac:dyDescent="0.2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2.75" x14ac:dyDescent="0.2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2.75" x14ac:dyDescent="0.2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2.75" x14ac:dyDescent="0.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2.75" x14ac:dyDescent="0.2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2.75" x14ac:dyDescent="0.2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2.75" x14ac:dyDescent="0.2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2.75" x14ac:dyDescent="0.2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2.75" x14ac:dyDescent="0.2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2.75" x14ac:dyDescent="0.2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2.75" x14ac:dyDescent="0.2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2.75" x14ac:dyDescent="0.2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2.75" x14ac:dyDescent="0.2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2.75" x14ac:dyDescent="0.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2.75" x14ac:dyDescent="0.2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2.75" x14ac:dyDescent="0.2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2.75" x14ac:dyDescent="0.2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2.75" x14ac:dyDescent="0.2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2.75" x14ac:dyDescent="0.2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2.75" x14ac:dyDescent="0.2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2.75" x14ac:dyDescent="0.2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2.75" x14ac:dyDescent="0.2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2.75" x14ac:dyDescent="0.2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2.75" x14ac:dyDescent="0.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2.75" x14ac:dyDescent="0.2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2.75" x14ac:dyDescent="0.2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2.75" x14ac:dyDescent="0.2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2.75" x14ac:dyDescent="0.2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2.75" x14ac:dyDescent="0.2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2.75" x14ac:dyDescent="0.2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2.75" x14ac:dyDescent="0.2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2.75" x14ac:dyDescent="0.2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2.75" x14ac:dyDescent="0.2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2.75" x14ac:dyDescent="0.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2.75" x14ac:dyDescent="0.2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2.75" x14ac:dyDescent="0.2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2.75" x14ac:dyDescent="0.2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2.75" x14ac:dyDescent="0.2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2.75" x14ac:dyDescent="0.2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2.75" x14ac:dyDescent="0.2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2.75" x14ac:dyDescent="0.2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2.75" x14ac:dyDescent="0.2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2.75" x14ac:dyDescent="0.2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2.75" x14ac:dyDescent="0.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2.75" x14ac:dyDescent="0.2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2.75" x14ac:dyDescent="0.2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2.75" x14ac:dyDescent="0.2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2.75" x14ac:dyDescent="0.2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2.75" x14ac:dyDescent="0.2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2.75" x14ac:dyDescent="0.2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2.75" x14ac:dyDescent="0.2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2.75" x14ac:dyDescent="0.2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2.75" x14ac:dyDescent="0.2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2.75" x14ac:dyDescent="0.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2.75" x14ac:dyDescent="0.2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2.75" x14ac:dyDescent="0.2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2.75" x14ac:dyDescent="0.2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2.75" x14ac:dyDescent="0.2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2.75" x14ac:dyDescent="0.2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2.75" x14ac:dyDescent="0.2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2.75" x14ac:dyDescent="0.2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2.75" x14ac:dyDescent="0.2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2.75" x14ac:dyDescent="0.2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2.75" x14ac:dyDescent="0.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2.75" x14ac:dyDescent="0.2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2.75" x14ac:dyDescent="0.2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2.75" x14ac:dyDescent="0.2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2.75" x14ac:dyDescent="0.2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2.75" x14ac:dyDescent="0.2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2.75" x14ac:dyDescent="0.2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2.75" x14ac:dyDescent="0.2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2.75" x14ac:dyDescent="0.2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2.75" x14ac:dyDescent="0.2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2.75" x14ac:dyDescent="0.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2.75" x14ac:dyDescent="0.2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2.75" x14ac:dyDescent="0.2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2.75" x14ac:dyDescent="0.2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2.75" x14ac:dyDescent="0.2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2.75" x14ac:dyDescent="0.2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2.75" x14ac:dyDescent="0.2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2.75" x14ac:dyDescent="0.2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2.75" x14ac:dyDescent="0.2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2.75" x14ac:dyDescent="0.2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2.75" x14ac:dyDescent="0.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2.75" x14ac:dyDescent="0.2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2.75" x14ac:dyDescent="0.2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2.75" x14ac:dyDescent="0.2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2.75" x14ac:dyDescent="0.2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2.75" x14ac:dyDescent="0.2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2.75" x14ac:dyDescent="0.2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2.75" x14ac:dyDescent="0.2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2.75" x14ac:dyDescent="0.2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2.75" x14ac:dyDescent="0.2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2.75" x14ac:dyDescent="0.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2.75" x14ac:dyDescent="0.2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2.75" x14ac:dyDescent="0.2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2.75" x14ac:dyDescent="0.2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2.75" x14ac:dyDescent="0.2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2.75" x14ac:dyDescent="0.2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2.75" x14ac:dyDescent="0.2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2.75" x14ac:dyDescent="0.2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2.75" x14ac:dyDescent="0.2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2.75" x14ac:dyDescent="0.2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2.75" x14ac:dyDescent="0.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2.75" x14ac:dyDescent="0.2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2.75" x14ac:dyDescent="0.2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2.75" x14ac:dyDescent="0.2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2.75" x14ac:dyDescent="0.2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2.75" x14ac:dyDescent="0.2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2.75" x14ac:dyDescent="0.2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2.75" x14ac:dyDescent="0.2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2.75" x14ac:dyDescent="0.2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2.75" x14ac:dyDescent="0.2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2.75" x14ac:dyDescent="0.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2.75" x14ac:dyDescent="0.2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2.75" x14ac:dyDescent="0.2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2.75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2.75" x14ac:dyDescent="0.2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2.75" x14ac:dyDescent="0.2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2.75" x14ac:dyDescent="0.2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2.75" x14ac:dyDescent="0.2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2.75" x14ac:dyDescent="0.2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2.75" x14ac:dyDescent="0.2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2.75" x14ac:dyDescent="0.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2.75" x14ac:dyDescent="0.2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2.75" x14ac:dyDescent="0.2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2.75" x14ac:dyDescent="0.2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2.75" x14ac:dyDescent="0.2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2.75" x14ac:dyDescent="0.2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2.75" x14ac:dyDescent="0.2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2.75" x14ac:dyDescent="0.2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2.75" x14ac:dyDescent="0.2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2.75" x14ac:dyDescent="0.2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2.75" x14ac:dyDescent="0.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2.75" x14ac:dyDescent="0.2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2.75" x14ac:dyDescent="0.2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2.75" x14ac:dyDescent="0.2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2.75" x14ac:dyDescent="0.2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2.75" x14ac:dyDescent="0.2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2.75" x14ac:dyDescent="0.2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2.75" x14ac:dyDescent="0.2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2.75" x14ac:dyDescent="0.2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2.75" x14ac:dyDescent="0.2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2.75" x14ac:dyDescent="0.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2.75" x14ac:dyDescent="0.2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2.75" x14ac:dyDescent="0.2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2.75" x14ac:dyDescent="0.2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2.75" x14ac:dyDescent="0.2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2.75" x14ac:dyDescent="0.2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2.75" x14ac:dyDescent="0.2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2.75" x14ac:dyDescent="0.2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2.75" x14ac:dyDescent="0.2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2.75" x14ac:dyDescent="0.2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2.75" x14ac:dyDescent="0.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2.75" x14ac:dyDescent="0.2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2.75" x14ac:dyDescent="0.2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2.75" x14ac:dyDescent="0.2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2.75" x14ac:dyDescent="0.2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2.75" x14ac:dyDescent="0.2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2.75" x14ac:dyDescent="0.2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2.75" x14ac:dyDescent="0.2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2.75" x14ac:dyDescent="0.2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2.75" x14ac:dyDescent="0.2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2.75" x14ac:dyDescent="0.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2.75" x14ac:dyDescent="0.2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2.75" x14ac:dyDescent="0.2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2.75" x14ac:dyDescent="0.2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2.75" x14ac:dyDescent="0.2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2.75" x14ac:dyDescent="0.2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2.75" x14ac:dyDescent="0.2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2.75" x14ac:dyDescent="0.2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2.75" x14ac:dyDescent="0.2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2.75" x14ac:dyDescent="0.2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2.75" x14ac:dyDescent="0.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2.75" x14ac:dyDescent="0.2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2.75" x14ac:dyDescent="0.2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2.75" x14ac:dyDescent="0.2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2.75" x14ac:dyDescent="0.2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2.75" x14ac:dyDescent="0.2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2.75" x14ac:dyDescent="0.2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2.75" x14ac:dyDescent="0.2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2.75" x14ac:dyDescent="0.2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2.75" x14ac:dyDescent="0.2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2.75" x14ac:dyDescent="0.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2.75" x14ac:dyDescent="0.2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2.75" x14ac:dyDescent="0.2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2.75" x14ac:dyDescent="0.2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2.75" x14ac:dyDescent="0.2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2.75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2.75" x14ac:dyDescent="0.2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2.75" x14ac:dyDescent="0.2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2.75" x14ac:dyDescent="0.2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2.75" x14ac:dyDescent="0.2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2.75" x14ac:dyDescent="0.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2.75" x14ac:dyDescent="0.2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2.75" x14ac:dyDescent="0.2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2.75" x14ac:dyDescent="0.2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2.75" x14ac:dyDescent="0.2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2.75" x14ac:dyDescent="0.2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2.75" x14ac:dyDescent="0.2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2.75" x14ac:dyDescent="0.2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2.75" x14ac:dyDescent="0.2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2.75" x14ac:dyDescent="0.2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2.75" x14ac:dyDescent="0.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2.75" x14ac:dyDescent="0.2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2.75" x14ac:dyDescent="0.2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2.75" x14ac:dyDescent="0.2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2.75" x14ac:dyDescent="0.2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2.75" x14ac:dyDescent="0.2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2.75" x14ac:dyDescent="0.2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2.75" x14ac:dyDescent="0.2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2.75" x14ac:dyDescent="0.2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2.75" x14ac:dyDescent="0.2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2.75" x14ac:dyDescent="0.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2.75" x14ac:dyDescent="0.2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2.75" x14ac:dyDescent="0.2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2.75" x14ac:dyDescent="0.2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2.75" x14ac:dyDescent="0.2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2.75" x14ac:dyDescent="0.2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2.75" x14ac:dyDescent="0.2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2.75" x14ac:dyDescent="0.2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2.75" x14ac:dyDescent="0.2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2.75" x14ac:dyDescent="0.2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2.75" x14ac:dyDescent="0.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2.75" x14ac:dyDescent="0.2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2.75" x14ac:dyDescent="0.2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2.75" x14ac:dyDescent="0.2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2.75" x14ac:dyDescent="0.2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2.75" x14ac:dyDescent="0.2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2.75" x14ac:dyDescent="0.2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2.75" x14ac:dyDescent="0.2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2.75" x14ac:dyDescent="0.2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2.75" x14ac:dyDescent="0.2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2.75" x14ac:dyDescent="0.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2.75" x14ac:dyDescent="0.2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2.75" x14ac:dyDescent="0.2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2.75" x14ac:dyDescent="0.2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2.75" x14ac:dyDescent="0.2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2.75" x14ac:dyDescent="0.2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2.75" x14ac:dyDescent="0.2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2.75" x14ac:dyDescent="0.2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2.75" x14ac:dyDescent="0.2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2.75" x14ac:dyDescent="0.2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2.75" x14ac:dyDescent="0.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2.75" x14ac:dyDescent="0.2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2.75" x14ac:dyDescent="0.2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2.75" x14ac:dyDescent="0.2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2.75" x14ac:dyDescent="0.2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2.75" x14ac:dyDescent="0.2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2.75" x14ac:dyDescent="0.2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2.75" x14ac:dyDescent="0.2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2.75" x14ac:dyDescent="0.2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2.75" x14ac:dyDescent="0.2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2.75" x14ac:dyDescent="0.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2.75" x14ac:dyDescent="0.2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2.75" x14ac:dyDescent="0.2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2.75" x14ac:dyDescent="0.2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2.75" x14ac:dyDescent="0.2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2.75" x14ac:dyDescent="0.2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2.75" x14ac:dyDescent="0.2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2.75" x14ac:dyDescent="0.2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2.75" x14ac:dyDescent="0.2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2.75" x14ac:dyDescent="0.2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2.75" x14ac:dyDescent="0.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2.75" x14ac:dyDescent="0.2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2.75" x14ac:dyDescent="0.2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2.75" x14ac:dyDescent="0.2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2.75" x14ac:dyDescent="0.2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2.75" x14ac:dyDescent="0.2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2.75" x14ac:dyDescent="0.2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2.75" x14ac:dyDescent="0.2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2.75" x14ac:dyDescent="0.2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2.75" x14ac:dyDescent="0.2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2.75" x14ac:dyDescent="0.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2.75" x14ac:dyDescent="0.2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2.75" x14ac:dyDescent="0.2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2.75" x14ac:dyDescent="0.2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2.75" x14ac:dyDescent="0.2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2.75" x14ac:dyDescent="0.2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2.75" x14ac:dyDescent="0.2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2.75" x14ac:dyDescent="0.2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2.75" x14ac:dyDescent="0.2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2.75" x14ac:dyDescent="0.2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2.75" x14ac:dyDescent="0.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2.75" x14ac:dyDescent="0.2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2.75" x14ac:dyDescent="0.2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2.75" x14ac:dyDescent="0.2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2.75" x14ac:dyDescent="0.2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2.75" x14ac:dyDescent="0.2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2.75" x14ac:dyDescent="0.2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2.75" x14ac:dyDescent="0.2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2.75" x14ac:dyDescent="0.2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2.75" x14ac:dyDescent="0.2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2.75" x14ac:dyDescent="0.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2.75" x14ac:dyDescent="0.2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2.75" x14ac:dyDescent="0.2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2.75" x14ac:dyDescent="0.2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2.75" x14ac:dyDescent="0.2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2.75" x14ac:dyDescent="0.2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2.75" x14ac:dyDescent="0.2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2.75" x14ac:dyDescent="0.2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2.75" x14ac:dyDescent="0.2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2.75" x14ac:dyDescent="0.2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2.75" x14ac:dyDescent="0.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2.75" x14ac:dyDescent="0.2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2.75" x14ac:dyDescent="0.2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2.75" x14ac:dyDescent="0.2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2.75" x14ac:dyDescent="0.2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2.75" x14ac:dyDescent="0.2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2.75" x14ac:dyDescent="0.2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2.75" x14ac:dyDescent="0.2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2.75" x14ac:dyDescent="0.2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2.75" x14ac:dyDescent="0.2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2.75" x14ac:dyDescent="0.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2.75" x14ac:dyDescent="0.2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2.75" x14ac:dyDescent="0.2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2.75" x14ac:dyDescent="0.2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2.75" x14ac:dyDescent="0.2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2.75" x14ac:dyDescent="0.2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2.75" x14ac:dyDescent="0.2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2.75" x14ac:dyDescent="0.2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2.75" x14ac:dyDescent="0.2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2.75" x14ac:dyDescent="0.2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2.75" x14ac:dyDescent="0.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2.75" x14ac:dyDescent="0.2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2.75" x14ac:dyDescent="0.2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2.75" x14ac:dyDescent="0.2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2.75" x14ac:dyDescent="0.2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2.75" x14ac:dyDescent="0.2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2.75" x14ac:dyDescent="0.2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2.75" x14ac:dyDescent="0.2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2.75" x14ac:dyDescent="0.2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2.75" x14ac:dyDescent="0.2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2.75" x14ac:dyDescent="0.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2.75" x14ac:dyDescent="0.2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2.75" x14ac:dyDescent="0.2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2.75" x14ac:dyDescent="0.2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2.75" x14ac:dyDescent="0.2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2.75" x14ac:dyDescent="0.2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2.75" x14ac:dyDescent="0.2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2.75" x14ac:dyDescent="0.2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2.75" x14ac:dyDescent="0.2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2.75" x14ac:dyDescent="0.2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2.75" x14ac:dyDescent="0.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2.75" x14ac:dyDescent="0.2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2.75" x14ac:dyDescent="0.2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2.75" x14ac:dyDescent="0.2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2.75" x14ac:dyDescent="0.2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2.75" x14ac:dyDescent="0.2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2.75" x14ac:dyDescent="0.2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2.75" x14ac:dyDescent="0.2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2.75" x14ac:dyDescent="0.2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2.75" x14ac:dyDescent="0.2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2.75" x14ac:dyDescent="0.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2.75" x14ac:dyDescent="0.2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2.75" x14ac:dyDescent="0.2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2.75" x14ac:dyDescent="0.2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2.75" x14ac:dyDescent="0.2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2.75" x14ac:dyDescent="0.2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2.75" x14ac:dyDescent="0.2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2.75" x14ac:dyDescent="0.2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2.75" x14ac:dyDescent="0.2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2.75" x14ac:dyDescent="0.2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2.75" x14ac:dyDescent="0.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2.75" x14ac:dyDescent="0.2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2.75" x14ac:dyDescent="0.2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2.75" x14ac:dyDescent="0.2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2.75" x14ac:dyDescent="0.2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2.75" x14ac:dyDescent="0.2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2.75" x14ac:dyDescent="0.2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2.75" x14ac:dyDescent="0.2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2.75" x14ac:dyDescent="0.2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2.75" x14ac:dyDescent="0.2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2.75" x14ac:dyDescent="0.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2.75" x14ac:dyDescent="0.2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2.75" x14ac:dyDescent="0.2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2.75" x14ac:dyDescent="0.2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2.75" x14ac:dyDescent="0.2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2.75" x14ac:dyDescent="0.2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2.75" x14ac:dyDescent="0.2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2.75" x14ac:dyDescent="0.2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2.75" x14ac:dyDescent="0.2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2.75" x14ac:dyDescent="0.2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2.75" x14ac:dyDescent="0.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2.75" x14ac:dyDescent="0.2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2.75" x14ac:dyDescent="0.2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2.75" x14ac:dyDescent="0.2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2.75" x14ac:dyDescent="0.2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2.75" x14ac:dyDescent="0.2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2.75" x14ac:dyDescent="0.2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2.75" x14ac:dyDescent="0.2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2.75" x14ac:dyDescent="0.2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2.75" x14ac:dyDescent="0.2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2.75" x14ac:dyDescent="0.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2.75" x14ac:dyDescent="0.2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2.75" x14ac:dyDescent="0.2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2.75" x14ac:dyDescent="0.2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2.75" x14ac:dyDescent="0.2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2.75" x14ac:dyDescent="0.2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2.75" x14ac:dyDescent="0.2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2.75" x14ac:dyDescent="0.2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2.75" x14ac:dyDescent="0.2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2.75" x14ac:dyDescent="0.2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2.75" x14ac:dyDescent="0.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2.75" x14ac:dyDescent="0.2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2.75" x14ac:dyDescent="0.2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2.75" x14ac:dyDescent="0.2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2.75" x14ac:dyDescent="0.2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2.75" x14ac:dyDescent="0.2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2.75" x14ac:dyDescent="0.2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2.75" x14ac:dyDescent="0.2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2.75" x14ac:dyDescent="0.2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2.75" x14ac:dyDescent="0.2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2.75" x14ac:dyDescent="0.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2.75" x14ac:dyDescent="0.2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2.75" x14ac:dyDescent="0.2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2.75" x14ac:dyDescent="0.2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2.75" x14ac:dyDescent="0.2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2.75" x14ac:dyDescent="0.2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2.75" x14ac:dyDescent="0.2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2.75" x14ac:dyDescent="0.2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2.75" x14ac:dyDescent="0.2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2.75" x14ac:dyDescent="0.2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2.75" x14ac:dyDescent="0.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2.75" x14ac:dyDescent="0.2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2.75" x14ac:dyDescent="0.2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2.75" x14ac:dyDescent="0.2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2.75" x14ac:dyDescent="0.2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2.75" x14ac:dyDescent="0.2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2.75" x14ac:dyDescent="0.2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2.75" x14ac:dyDescent="0.2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2.75" x14ac:dyDescent="0.2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2.75" x14ac:dyDescent="0.2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2.75" x14ac:dyDescent="0.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2.75" x14ac:dyDescent="0.2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2.75" x14ac:dyDescent="0.2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2.75" x14ac:dyDescent="0.2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2.75" x14ac:dyDescent="0.2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2.75" x14ac:dyDescent="0.2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2.75" x14ac:dyDescent="0.2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2.75" x14ac:dyDescent="0.2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2.75" x14ac:dyDescent="0.2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2.75" x14ac:dyDescent="0.2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2.75" x14ac:dyDescent="0.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2.75" x14ac:dyDescent="0.2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2.75" x14ac:dyDescent="0.2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2.75" x14ac:dyDescent="0.2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2.75" x14ac:dyDescent="0.2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2.75" x14ac:dyDescent="0.2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2.75" x14ac:dyDescent="0.2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2.75" x14ac:dyDescent="0.2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2.75" x14ac:dyDescent="0.2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2.75" x14ac:dyDescent="0.2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2.75" x14ac:dyDescent="0.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2.75" x14ac:dyDescent="0.2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2.75" x14ac:dyDescent="0.2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2.75" x14ac:dyDescent="0.2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2.75" x14ac:dyDescent="0.2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2.75" x14ac:dyDescent="0.2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2.75" x14ac:dyDescent="0.2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2.75" x14ac:dyDescent="0.2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2.75" x14ac:dyDescent="0.2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2.75" x14ac:dyDescent="0.2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2.75" x14ac:dyDescent="0.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2.75" x14ac:dyDescent="0.2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2.75" x14ac:dyDescent="0.2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2.75" x14ac:dyDescent="0.2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2.75" x14ac:dyDescent="0.2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2.75" x14ac:dyDescent="0.2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2.75" x14ac:dyDescent="0.2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2.75" x14ac:dyDescent="0.2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2.75" x14ac:dyDescent="0.2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2.75" x14ac:dyDescent="0.2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2.75" x14ac:dyDescent="0.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2.75" x14ac:dyDescent="0.2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2.75" x14ac:dyDescent="0.2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2.75" x14ac:dyDescent="0.2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2.75" x14ac:dyDescent="0.2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2.75" x14ac:dyDescent="0.2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2.75" x14ac:dyDescent="0.2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2.75" x14ac:dyDescent="0.2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2.75" x14ac:dyDescent="0.2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2.75" x14ac:dyDescent="0.2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2.75" x14ac:dyDescent="0.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2.75" x14ac:dyDescent="0.2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2.75" x14ac:dyDescent="0.2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2.75" x14ac:dyDescent="0.2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2.75" x14ac:dyDescent="0.2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2.75" x14ac:dyDescent="0.2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2.75" x14ac:dyDescent="0.2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2.75" x14ac:dyDescent="0.2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2.75" x14ac:dyDescent="0.2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2.75" x14ac:dyDescent="0.2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2.75" x14ac:dyDescent="0.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2.75" x14ac:dyDescent="0.2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2.75" x14ac:dyDescent="0.2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2.75" x14ac:dyDescent="0.2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2.75" x14ac:dyDescent="0.2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2.75" x14ac:dyDescent="0.2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2.75" x14ac:dyDescent="0.2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2.75" x14ac:dyDescent="0.2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2.75" x14ac:dyDescent="0.2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2.75" x14ac:dyDescent="0.2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2.75" x14ac:dyDescent="0.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2.75" x14ac:dyDescent="0.2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2.75" x14ac:dyDescent="0.2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2.75" x14ac:dyDescent="0.2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2.75" x14ac:dyDescent="0.2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2.75" x14ac:dyDescent="0.2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2.75" x14ac:dyDescent="0.2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2.75" x14ac:dyDescent="0.2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2.75" x14ac:dyDescent="0.2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2.75" x14ac:dyDescent="0.2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2.75" x14ac:dyDescent="0.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2.75" x14ac:dyDescent="0.2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2.75" x14ac:dyDescent="0.2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2.75" x14ac:dyDescent="0.2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2.75" x14ac:dyDescent="0.2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2.75" x14ac:dyDescent="0.2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2.75" x14ac:dyDescent="0.2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2.75" x14ac:dyDescent="0.2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2.75" x14ac:dyDescent="0.2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2.75" x14ac:dyDescent="0.2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2.75" x14ac:dyDescent="0.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2.75" x14ac:dyDescent="0.2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2.75" x14ac:dyDescent="0.2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2.75" x14ac:dyDescent="0.2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2.75" x14ac:dyDescent="0.2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2.75" x14ac:dyDescent="0.2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2.75" x14ac:dyDescent="0.2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2.75" x14ac:dyDescent="0.2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2.75" x14ac:dyDescent="0.2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2.75" x14ac:dyDescent="0.2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2.75" x14ac:dyDescent="0.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2.75" x14ac:dyDescent="0.2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2.75" x14ac:dyDescent="0.2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2.75" x14ac:dyDescent="0.2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2.75" x14ac:dyDescent="0.2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2.75" x14ac:dyDescent="0.2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2.75" x14ac:dyDescent="0.2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2.75" x14ac:dyDescent="0.2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2.75" x14ac:dyDescent="0.2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2.75" x14ac:dyDescent="0.2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2.75" x14ac:dyDescent="0.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2.75" x14ac:dyDescent="0.2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2.75" x14ac:dyDescent="0.2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2.75" x14ac:dyDescent="0.2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2.75" x14ac:dyDescent="0.2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2.75" x14ac:dyDescent="0.2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2.75" x14ac:dyDescent="0.2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2.75" x14ac:dyDescent="0.2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2.75" x14ac:dyDescent="0.2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 spans="1:26" ht="12.75" x14ac:dyDescent="0.2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</sheetData>
  <dataValidations count="1">
    <dataValidation type="custom" allowBlank="1" showDropDown="1" sqref="F3:F10 K3:K10 B15:E18 G15:G18 I15:J18 B22:E28 G22:G28 I22:J28 C32:E40 N32:N41 P32:U41 C45:E51" xr:uid="{00000000-0002-0000-0200-000000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Y30"/>
  <sheetViews>
    <sheetView workbookViewId="0"/>
  </sheetViews>
  <sheetFormatPr defaultColWidth="12.5703125" defaultRowHeight="15.75" customHeight="1" x14ac:dyDescent="0.2"/>
  <cols>
    <col min="1" max="1" width="5.42578125" customWidth="1"/>
    <col min="2" max="2" width="16.85546875" customWidth="1"/>
    <col min="3" max="3" width="14.42578125" customWidth="1"/>
    <col min="4" max="4" width="6.42578125" customWidth="1"/>
    <col min="5" max="5" width="12.5703125" customWidth="1"/>
    <col min="6" max="6" width="8.28515625" customWidth="1"/>
    <col min="7" max="7" width="7.42578125" customWidth="1"/>
    <col min="8" max="8" width="8.42578125" customWidth="1"/>
    <col min="11" max="11" width="7.7109375" customWidth="1"/>
    <col min="12" max="12" width="13.85546875" customWidth="1"/>
    <col min="13" max="13" width="6.42578125" customWidth="1"/>
    <col min="14" max="14" width="9.5703125" customWidth="1"/>
    <col min="15" max="15" width="7.5703125" customWidth="1"/>
    <col min="16" max="16" width="7.42578125" customWidth="1"/>
    <col min="17" max="17" width="8.42578125" customWidth="1"/>
    <col min="20" max="20" width="13.85546875" customWidth="1"/>
    <col min="21" max="21" width="6.42578125" customWidth="1"/>
    <col min="22" max="22" width="9.5703125" customWidth="1"/>
    <col min="23" max="23" width="7.5703125" customWidth="1"/>
    <col min="24" max="24" width="7.42578125" customWidth="1"/>
    <col min="25" max="25" width="8.42578125" customWidth="1"/>
  </cols>
  <sheetData>
    <row r="1" spans="2:25" ht="12.75" x14ac:dyDescent="0.2">
      <c r="C1" s="112"/>
      <c r="D1" s="112" t="s">
        <v>322</v>
      </c>
      <c r="E1" s="112"/>
      <c r="F1" s="112"/>
      <c r="G1" s="112"/>
      <c r="H1" s="112"/>
      <c r="I1" s="112"/>
      <c r="L1" s="112"/>
      <c r="M1" s="112" t="s">
        <v>323</v>
      </c>
      <c r="N1" s="112"/>
      <c r="O1" s="112"/>
      <c r="S1" s="112"/>
      <c r="T1" s="112" t="s">
        <v>324</v>
      </c>
      <c r="U1" s="112"/>
      <c r="V1" s="112"/>
      <c r="W1" s="112"/>
      <c r="X1" s="112"/>
    </row>
    <row r="2" spans="2:25" ht="12.75" x14ac:dyDescent="0.2">
      <c r="E2" s="113" t="s">
        <v>325</v>
      </c>
    </row>
    <row r="3" spans="2:25" ht="22.5" customHeight="1" x14ac:dyDescent="0.2">
      <c r="B3" s="14" t="s">
        <v>114</v>
      </c>
      <c r="C3" s="114" t="s">
        <v>326</v>
      </c>
      <c r="D3" s="14" t="s">
        <v>116</v>
      </c>
      <c r="E3" s="14" t="s">
        <v>140</v>
      </c>
      <c r="F3" s="14" t="s">
        <v>141</v>
      </c>
      <c r="G3" s="14" t="s">
        <v>327</v>
      </c>
      <c r="H3" s="14" t="s">
        <v>328</v>
      </c>
      <c r="I3" s="14" t="s">
        <v>8</v>
      </c>
      <c r="K3" s="32" t="s">
        <v>114</v>
      </c>
      <c r="L3" s="115" t="s">
        <v>326</v>
      </c>
      <c r="M3" s="32" t="s">
        <v>116</v>
      </c>
      <c r="N3" s="32" t="s">
        <v>140</v>
      </c>
      <c r="O3" s="32" t="s">
        <v>141</v>
      </c>
      <c r="P3" s="32" t="s">
        <v>327</v>
      </c>
      <c r="Q3" s="32" t="s">
        <v>328</v>
      </c>
      <c r="S3" s="33" t="s">
        <v>329</v>
      </c>
      <c r="T3" s="32" t="s">
        <v>326</v>
      </c>
      <c r="U3" s="32" t="s">
        <v>116</v>
      </c>
      <c r="V3" s="32" t="s">
        <v>140</v>
      </c>
      <c r="W3" s="32" t="s">
        <v>141</v>
      </c>
      <c r="X3" s="32" t="s">
        <v>327</v>
      </c>
      <c r="Y3" s="32" t="s">
        <v>328</v>
      </c>
    </row>
    <row r="4" spans="2:25" ht="22.5" customHeight="1" x14ac:dyDescent="0.2">
      <c r="B4" s="20">
        <v>1</v>
      </c>
      <c r="C4" s="20" t="s">
        <v>67</v>
      </c>
      <c r="D4" s="20">
        <v>386</v>
      </c>
      <c r="E4" s="21">
        <v>6639</v>
      </c>
      <c r="F4" s="116">
        <v>40495</v>
      </c>
      <c r="G4" s="20">
        <v>0</v>
      </c>
      <c r="H4" s="20">
        <v>19450</v>
      </c>
      <c r="I4" s="20" t="s">
        <v>330</v>
      </c>
      <c r="K4" s="36">
        <v>1</v>
      </c>
      <c r="L4" s="16" t="s">
        <v>67</v>
      </c>
      <c r="M4" s="36">
        <v>384</v>
      </c>
      <c r="N4" s="117">
        <v>4859</v>
      </c>
      <c r="O4" s="36">
        <v>34039</v>
      </c>
      <c r="P4" s="36">
        <v>0</v>
      </c>
      <c r="Q4" s="36">
        <v>9917</v>
      </c>
      <c r="S4" s="36">
        <v>1</v>
      </c>
      <c r="T4" s="16" t="s">
        <v>67</v>
      </c>
      <c r="U4" s="36">
        <v>364</v>
      </c>
      <c r="V4" s="117">
        <v>1914</v>
      </c>
      <c r="W4" s="36">
        <v>9493</v>
      </c>
      <c r="X4" s="36">
        <v>0</v>
      </c>
      <c r="Y4" s="36">
        <v>5600</v>
      </c>
    </row>
    <row r="5" spans="2:25" ht="22.5" customHeight="1" x14ac:dyDescent="0.2">
      <c r="B5" s="20">
        <v>2</v>
      </c>
      <c r="C5" s="20" t="s">
        <v>68</v>
      </c>
      <c r="D5" s="20">
        <v>409</v>
      </c>
      <c r="E5" s="21">
        <v>5171</v>
      </c>
      <c r="F5" s="20">
        <v>16670</v>
      </c>
      <c r="G5" s="20">
        <v>0</v>
      </c>
      <c r="H5" s="20">
        <v>23380</v>
      </c>
      <c r="I5" s="20"/>
      <c r="K5" s="36">
        <v>2</v>
      </c>
      <c r="L5" s="16" t="s">
        <v>68</v>
      </c>
      <c r="M5" s="36">
        <v>407</v>
      </c>
      <c r="N5" s="117">
        <v>3629</v>
      </c>
      <c r="O5" s="36">
        <v>10219</v>
      </c>
      <c r="P5" s="36">
        <v>0</v>
      </c>
      <c r="Q5" s="36">
        <v>18745</v>
      </c>
      <c r="S5" s="36">
        <v>2</v>
      </c>
      <c r="T5" s="16" t="s">
        <v>68</v>
      </c>
      <c r="U5" s="36">
        <v>383</v>
      </c>
      <c r="V5" s="117">
        <v>1665</v>
      </c>
      <c r="W5" s="36">
        <v>10852</v>
      </c>
      <c r="X5" s="36">
        <v>0</v>
      </c>
      <c r="Y5" s="36">
        <v>3860</v>
      </c>
    </row>
    <row r="6" spans="2:25" ht="22.5" customHeight="1" x14ac:dyDescent="0.2">
      <c r="B6" s="20">
        <v>3</v>
      </c>
      <c r="C6" s="20" t="s">
        <v>69</v>
      </c>
      <c r="D6" s="20">
        <v>114</v>
      </c>
      <c r="E6" s="21">
        <v>6103</v>
      </c>
      <c r="F6" s="20">
        <v>22429</v>
      </c>
      <c r="G6" s="20">
        <v>0</v>
      </c>
      <c r="H6" s="20">
        <v>21310</v>
      </c>
      <c r="I6" s="20"/>
      <c r="K6" s="36">
        <v>3</v>
      </c>
      <c r="L6" s="16" t="s">
        <v>69</v>
      </c>
      <c r="M6" s="36">
        <v>114</v>
      </c>
      <c r="N6" s="117">
        <v>4141</v>
      </c>
      <c r="O6" s="36">
        <v>15163</v>
      </c>
      <c r="P6" s="36">
        <v>0</v>
      </c>
      <c r="Q6" s="36">
        <v>13012</v>
      </c>
      <c r="S6" s="36">
        <v>3</v>
      </c>
      <c r="T6" s="16" t="s">
        <v>69</v>
      </c>
      <c r="U6" s="36">
        <v>109</v>
      </c>
      <c r="V6" s="117">
        <v>2053</v>
      </c>
      <c r="W6" s="36">
        <v>11012</v>
      </c>
      <c r="X6" s="36">
        <v>0</v>
      </c>
      <c r="Y6" s="36">
        <v>5440</v>
      </c>
    </row>
    <row r="7" spans="2:25" ht="22.5" customHeight="1" x14ac:dyDescent="0.2">
      <c r="B7" s="20">
        <v>4</v>
      </c>
      <c r="C7" s="20" t="s">
        <v>70</v>
      </c>
      <c r="D7" s="20">
        <v>105</v>
      </c>
      <c r="E7" s="21">
        <v>3654</v>
      </c>
      <c r="F7" s="20">
        <v>7285</v>
      </c>
      <c r="G7" s="20">
        <v>0</v>
      </c>
      <c r="H7" s="20">
        <v>17840</v>
      </c>
      <c r="I7" s="20"/>
      <c r="K7" s="36">
        <v>4</v>
      </c>
      <c r="L7" s="16" t="s">
        <v>70</v>
      </c>
      <c r="M7" s="36">
        <v>105</v>
      </c>
      <c r="N7" s="117">
        <v>3246</v>
      </c>
      <c r="O7" s="36">
        <v>6560</v>
      </c>
      <c r="P7" s="36">
        <v>0</v>
      </c>
      <c r="Q7" s="36">
        <v>16380</v>
      </c>
      <c r="S7" s="36">
        <v>4</v>
      </c>
      <c r="T7" s="16" t="s">
        <v>70</v>
      </c>
      <c r="U7" s="36">
        <v>100</v>
      </c>
      <c r="V7" s="117">
        <v>429</v>
      </c>
      <c r="W7" s="36">
        <v>1217</v>
      </c>
      <c r="X7" s="36">
        <v>0</v>
      </c>
      <c r="Y7" s="36">
        <v>2000</v>
      </c>
    </row>
    <row r="10" spans="2:25" ht="22.5" customHeight="1" x14ac:dyDescent="0.2">
      <c r="B10" s="32" t="s">
        <v>0</v>
      </c>
      <c r="C10" s="33" t="s">
        <v>8</v>
      </c>
      <c r="D10" s="32" t="s">
        <v>116</v>
      </c>
      <c r="E10" s="32" t="s">
        <v>140</v>
      </c>
      <c r="F10" s="32" t="s">
        <v>141</v>
      </c>
      <c r="G10" s="32" t="s">
        <v>327</v>
      </c>
      <c r="H10" s="32" t="s">
        <v>328</v>
      </c>
      <c r="K10" s="33" t="s">
        <v>114</v>
      </c>
      <c r="L10" s="32" t="s">
        <v>0</v>
      </c>
      <c r="M10" s="32" t="s">
        <v>116</v>
      </c>
      <c r="N10" s="32" t="s">
        <v>140</v>
      </c>
      <c r="O10" s="32" t="s">
        <v>141</v>
      </c>
      <c r="P10" s="32" t="s">
        <v>327</v>
      </c>
      <c r="Q10" s="32" t="s">
        <v>328</v>
      </c>
      <c r="S10" s="33" t="s">
        <v>114</v>
      </c>
      <c r="T10" s="32" t="s">
        <v>0</v>
      </c>
      <c r="U10" s="32" t="s">
        <v>116</v>
      </c>
      <c r="V10" s="32" t="s">
        <v>140</v>
      </c>
      <c r="W10" s="32" t="s">
        <v>141</v>
      </c>
      <c r="X10" s="32" t="s">
        <v>327</v>
      </c>
      <c r="Y10" s="32" t="s">
        <v>328</v>
      </c>
    </row>
    <row r="11" spans="2:25" ht="22.5" customHeight="1" x14ac:dyDescent="0.2">
      <c r="B11" s="20">
        <v>1</v>
      </c>
      <c r="C11" s="20" t="s">
        <v>11</v>
      </c>
      <c r="D11" s="20">
        <v>136</v>
      </c>
      <c r="E11" s="21">
        <v>4595</v>
      </c>
      <c r="F11" s="20">
        <v>14035</v>
      </c>
      <c r="G11" s="20">
        <v>0</v>
      </c>
      <c r="H11" s="20">
        <v>17775</v>
      </c>
      <c r="K11" s="16">
        <v>1</v>
      </c>
      <c r="L11" s="36" t="s">
        <v>11</v>
      </c>
      <c r="M11" s="36">
        <v>135</v>
      </c>
      <c r="N11" s="117">
        <v>2656</v>
      </c>
      <c r="O11" s="36">
        <v>7092</v>
      </c>
      <c r="P11" s="36">
        <v>0</v>
      </c>
      <c r="Q11" s="36">
        <v>10955</v>
      </c>
      <c r="S11" s="36">
        <v>1</v>
      </c>
      <c r="T11" s="16" t="s">
        <v>0</v>
      </c>
      <c r="U11" s="36">
        <v>124</v>
      </c>
      <c r="V11" s="117">
        <v>2149</v>
      </c>
      <c r="W11" s="36">
        <v>10742</v>
      </c>
      <c r="X11" s="36">
        <v>0</v>
      </c>
      <c r="Y11" s="36">
        <v>5510</v>
      </c>
    </row>
    <row r="12" spans="2:25" ht="22.5" customHeight="1" x14ac:dyDescent="0.2">
      <c r="B12" s="20">
        <v>2</v>
      </c>
      <c r="C12" s="20" t="s">
        <v>18</v>
      </c>
      <c r="D12" s="20">
        <v>130</v>
      </c>
      <c r="E12" s="21">
        <v>9742</v>
      </c>
      <c r="F12" s="20">
        <v>62507</v>
      </c>
      <c r="G12" s="20">
        <v>0</v>
      </c>
      <c r="H12" s="20">
        <v>22360</v>
      </c>
      <c r="K12" s="16">
        <v>2</v>
      </c>
      <c r="L12" s="36" t="s">
        <v>18</v>
      </c>
      <c r="M12" s="36">
        <v>130</v>
      </c>
      <c r="N12" s="117">
        <v>8333</v>
      </c>
      <c r="O12" s="36">
        <v>53789</v>
      </c>
      <c r="P12" s="36">
        <v>0</v>
      </c>
      <c r="Q12" s="36">
        <v>18065</v>
      </c>
      <c r="S12" s="36">
        <v>2</v>
      </c>
      <c r="T12" s="16" t="s">
        <v>18</v>
      </c>
      <c r="U12" s="36">
        <v>110</v>
      </c>
      <c r="V12" s="117">
        <v>1665</v>
      </c>
      <c r="W12" s="36">
        <v>9840</v>
      </c>
      <c r="X12" s="36">
        <v>0</v>
      </c>
      <c r="Y12" s="36">
        <v>7100</v>
      </c>
    </row>
    <row r="13" spans="2:25" ht="22.5" customHeight="1" x14ac:dyDescent="0.2">
      <c r="B13" s="20">
        <v>3</v>
      </c>
      <c r="C13" s="20" t="s">
        <v>23</v>
      </c>
      <c r="D13" s="20">
        <v>337</v>
      </c>
      <c r="E13" s="21">
        <v>4031</v>
      </c>
      <c r="F13" s="20">
        <v>16071</v>
      </c>
      <c r="G13" s="20">
        <v>0</v>
      </c>
      <c r="H13" s="20">
        <v>19380</v>
      </c>
      <c r="K13" s="16">
        <v>3</v>
      </c>
      <c r="L13" s="36" t="s">
        <v>23</v>
      </c>
      <c r="M13" s="36">
        <v>335</v>
      </c>
      <c r="N13" s="117">
        <v>3500</v>
      </c>
      <c r="O13" s="36">
        <v>14829</v>
      </c>
      <c r="P13" s="36">
        <v>0</v>
      </c>
      <c r="Q13" s="36">
        <v>18010</v>
      </c>
      <c r="S13" s="36">
        <v>3</v>
      </c>
      <c r="T13" s="16" t="s">
        <v>23</v>
      </c>
      <c r="U13" s="36">
        <v>321</v>
      </c>
      <c r="V13" s="117">
        <v>579</v>
      </c>
      <c r="W13" s="36">
        <v>3444</v>
      </c>
      <c r="X13" s="36">
        <v>0</v>
      </c>
      <c r="Y13" s="36">
        <v>2140</v>
      </c>
    </row>
    <row r="14" spans="2:25" ht="22.5" customHeight="1" x14ac:dyDescent="0.2">
      <c r="B14" s="20">
        <v>4</v>
      </c>
      <c r="C14" s="20" t="s">
        <v>28</v>
      </c>
      <c r="D14" s="20">
        <v>57</v>
      </c>
      <c r="E14" s="21">
        <v>8172</v>
      </c>
      <c r="F14" s="20">
        <v>27870</v>
      </c>
      <c r="G14" s="20">
        <v>0</v>
      </c>
      <c r="H14" s="20">
        <v>35140</v>
      </c>
      <c r="K14" s="16">
        <v>4</v>
      </c>
      <c r="L14" s="36" t="s">
        <v>28</v>
      </c>
      <c r="M14" s="36">
        <v>56</v>
      </c>
      <c r="N14" s="117">
        <v>5370</v>
      </c>
      <c r="O14" s="36">
        <v>20614</v>
      </c>
      <c r="P14" s="36">
        <v>0</v>
      </c>
      <c r="Q14" s="36">
        <v>23125</v>
      </c>
      <c r="S14" s="36">
        <v>4</v>
      </c>
      <c r="T14" s="16" t="s">
        <v>28</v>
      </c>
      <c r="U14" s="36">
        <v>52</v>
      </c>
      <c r="V14" s="117">
        <v>3174</v>
      </c>
      <c r="W14" s="36">
        <v>9506</v>
      </c>
      <c r="X14" s="36">
        <v>0</v>
      </c>
      <c r="Y14" s="36">
        <v>16150</v>
      </c>
    </row>
    <row r="15" spans="2:25" ht="22.5" customHeight="1" x14ac:dyDescent="0.2">
      <c r="B15" s="20">
        <v>5</v>
      </c>
      <c r="C15" s="20" t="s">
        <v>33</v>
      </c>
      <c r="D15" s="20">
        <v>117</v>
      </c>
      <c r="E15" s="21">
        <v>3571</v>
      </c>
      <c r="F15" s="20">
        <v>8638</v>
      </c>
      <c r="G15" s="20">
        <v>0</v>
      </c>
      <c r="H15" s="20">
        <v>13844</v>
      </c>
      <c r="K15" s="16">
        <v>5</v>
      </c>
      <c r="L15" s="36" t="s">
        <v>33</v>
      </c>
      <c r="M15" s="36">
        <v>117</v>
      </c>
      <c r="N15" s="117">
        <v>3054</v>
      </c>
      <c r="O15" s="36">
        <v>7432</v>
      </c>
      <c r="P15" s="36">
        <v>0</v>
      </c>
      <c r="Q15" s="36">
        <v>11860</v>
      </c>
      <c r="S15" s="36">
        <v>5</v>
      </c>
      <c r="T15" s="16" t="s">
        <v>33</v>
      </c>
      <c r="U15" s="36">
        <v>114</v>
      </c>
      <c r="V15" s="117">
        <v>531</v>
      </c>
      <c r="W15" s="36">
        <v>1551</v>
      </c>
      <c r="X15" s="36">
        <v>0</v>
      </c>
      <c r="Y15" s="36">
        <v>3350</v>
      </c>
    </row>
    <row r="16" spans="2:25" ht="22.5" customHeight="1" x14ac:dyDescent="0.2">
      <c r="B16" s="20">
        <v>6</v>
      </c>
      <c r="C16" s="20" t="s">
        <v>38</v>
      </c>
      <c r="D16" s="20">
        <v>80</v>
      </c>
      <c r="E16" s="21">
        <v>7888</v>
      </c>
      <c r="F16" s="20">
        <v>23771</v>
      </c>
      <c r="G16" s="20">
        <v>0</v>
      </c>
      <c r="H16" s="20">
        <v>47650</v>
      </c>
      <c r="K16" s="16">
        <v>6</v>
      </c>
      <c r="L16" s="36" t="s">
        <v>38</v>
      </c>
      <c r="M16" s="36">
        <v>80</v>
      </c>
      <c r="N16" s="117">
        <v>3540</v>
      </c>
      <c r="O16" s="36">
        <v>8483</v>
      </c>
      <c r="P16" s="36">
        <v>0</v>
      </c>
      <c r="Q16" s="36">
        <v>17905</v>
      </c>
      <c r="S16" s="36">
        <v>6</v>
      </c>
      <c r="T16" s="16" t="s">
        <v>38</v>
      </c>
      <c r="U16" s="36">
        <v>78</v>
      </c>
      <c r="V16" s="117">
        <v>4460</v>
      </c>
      <c r="W16" s="36">
        <v>18179</v>
      </c>
      <c r="X16" s="36">
        <v>0</v>
      </c>
      <c r="Y16" s="36">
        <v>15067</v>
      </c>
    </row>
    <row r="17" spans="2:25" ht="22.5" customHeight="1" x14ac:dyDescent="0.2">
      <c r="B17" s="20">
        <v>7</v>
      </c>
      <c r="C17" s="20" t="s">
        <v>42</v>
      </c>
      <c r="D17" s="20">
        <v>157</v>
      </c>
      <c r="E17" s="21">
        <v>6322</v>
      </c>
      <c r="F17" s="20">
        <v>23920</v>
      </c>
      <c r="G17" s="20">
        <v>0</v>
      </c>
      <c r="H17" s="20">
        <v>16370</v>
      </c>
      <c r="K17" s="16">
        <v>7</v>
      </c>
      <c r="L17" s="36" t="s">
        <v>42</v>
      </c>
      <c r="M17" s="36">
        <v>157</v>
      </c>
      <c r="N17" s="117">
        <v>3825</v>
      </c>
      <c r="O17" s="36">
        <v>12693</v>
      </c>
      <c r="P17" s="36">
        <v>0</v>
      </c>
      <c r="Q17" s="36">
        <v>12240</v>
      </c>
      <c r="S17" s="36">
        <v>7</v>
      </c>
      <c r="T17" s="16" t="s">
        <v>42</v>
      </c>
      <c r="U17" s="36">
        <v>157</v>
      </c>
      <c r="V17" s="117">
        <v>2498</v>
      </c>
      <c r="W17" s="36">
        <v>14067</v>
      </c>
      <c r="X17" s="36">
        <v>0</v>
      </c>
      <c r="Y17" s="36">
        <v>6180</v>
      </c>
    </row>
    <row r="20" spans="2:25" ht="22.5" customHeight="1" x14ac:dyDescent="0.2">
      <c r="B20" s="32" t="s">
        <v>291</v>
      </c>
      <c r="C20" s="33" t="s">
        <v>8</v>
      </c>
      <c r="D20" s="32" t="s">
        <v>116</v>
      </c>
      <c r="E20" s="32" t="s">
        <v>140</v>
      </c>
      <c r="F20" s="32" t="s">
        <v>141</v>
      </c>
      <c r="G20" s="32" t="s">
        <v>327</v>
      </c>
      <c r="H20" s="32" t="s">
        <v>328</v>
      </c>
      <c r="K20" s="33" t="s">
        <v>114</v>
      </c>
      <c r="L20" s="32" t="s">
        <v>291</v>
      </c>
      <c r="M20" s="32" t="s">
        <v>116</v>
      </c>
      <c r="N20" s="32" t="s">
        <v>140</v>
      </c>
      <c r="O20" s="32" t="s">
        <v>141</v>
      </c>
      <c r="P20" s="32" t="s">
        <v>327</v>
      </c>
      <c r="Q20" s="32" t="s">
        <v>328</v>
      </c>
      <c r="S20" s="33" t="s">
        <v>114</v>
      </c>
      <c r="T20" s="32" t="s">
        <v>291</v>
      </c>
      <c r="U20" s="32" t="s">
        <v>116</v>
      </c>
      <c r="V20" s="32" t="s">
        <v>140</v>
      </c>
      <c r="W20" s="32" t="s">
        <v>141</v>
      </c>
      <c r="X20" s="32" t="s">
        <v>327</v>
      </c>
      <c r="Y20" s="32" t="s">
        <v>328</v>
      </c>
    </row>
    <row r="21" spans="2:25" ht="22.5" customHeight="1" x14ac:dyDescent="0.2">
      <c r="B21" s="20">
        <v>1</v>
      </c>
      <c r="C21" s="20" t="s">
        <v>212</v>
      </c>
      <c r="D21" s="20">
        <v>250</v>
      </c>
      <c r="E21" s="21">
        <v>5623</v>
      </c>
      <c r="F21" s="20">
        <v>19161</v>
      </c>
      <c r="G21" s="20">
        <v>0</v>
      </c>
      <c r="H21" s="20">
        <v>21017</v>
      </c>
      <c r="K21" s="36">
        <v>1</v>
      </c>
      <c r="L21" s="16" t="s">
        <v>212</v>
      </c>
      <c r="M21" s="36">
        <v>248</v>
      </c>
      <c r="N21" s="117">
        <v>3225</v>
      </c>
      <c r="O21" s="36">
        <v>8929</v>
      </c>
      <c r="P21" s="36">
        <v>0</v>
      </c>
      <c r="Q21" s="36">
        <v>14592</v>
      </c>
      <c r="S21" s="36">
        <v>1</v>
      </c>
      <c r="T21" s="16" t="s">
        <v>212</v>
      </c>
      <c r="U21" s="36">
        <v>241</v>
      </c>
      <c r="V21" s="117">
        <v>2515</v>
      </c>
      <c r="W21" s="36">
        <v>14054</v>
      </c>
      <c r="X21" s="36">
        <v>0</v>
      </c>
      <c r="Y21" s="36">
        <v>5000</v>
      </c>
    </row>
    <row r="22" spans="2:25" ht="22.5" customHeight="1" x14ac:dyDescent="0.2">
      <c r="B22" s="20">
        <v>2</v>
      </c>
      <c r="C22" s="20" t="s">
        <v>216</v>
      </c>
      <c r="D22" s="20">
        <v>233</v>
      </c>
      <c r="E22" s="21">
        <v>4239</v>
      </c>
      <c r="F22" s="20">
        <v>16155</v>
      </c>
      <c r="G22" s="20">
        <v>0</v>
      </c>
      <c r="H22" s="20">
        <v>14850</v>
      </c>
      <c r="K22" s="36">
        <v>2</v>
      </c>
      <c r="L22" s="16" t="s">
        <v>216</v>
      </c>
      <c r="M22" s="36">
        <v>233</v>
      </c>
      <c r="N22" s="117">
        <v>3018</v>
      </c>
      <c r="O22" s="36">
        <v>11405</v>
      </c>
      <c r="P22" s="36">
        <v>0</v>
      </c>
      <c r="Q22" s="36">
        <v>11612</v>
      </c>
      <c r="S22" s="36">
        <v>2</v>
      </c>
      <c r="T22" s="16" t="s">
        <v>216</v>
      </c>
      <c r="U22" s="36">
        <v>219</v>
      </c>
      <c r="V22" s="117">
        <v>1299</v>
      </c>
      <c r="W22" s="36">
        <v>7682</v>
      </c>
      <c r="X22" s="36">
        <v>0</v>
      </c>
      <c r="Y22" s="36">
        <v>5060</v>
      </c>
    </row>
    <row r="23" spans="2:25" ht="22.5" customHeight="1" x14ac:dyDescent="0.2">
      <c r="B23" s="20">
        <v>3</v>
      </c>
      <c r="C23" s="20" t="s">
        <v>220</v>
      </c>
      <c r="D23" s="20">
        <v>223</v>
      </c>
      <c r="E23" s="21">
        <v>5727</v>
      </c>
      <c r="F23" s="20">
        <v>22629</v>
      </c>
      <c r="G23" s="20">
        <v>0</v>
      </c>
      <c r="H23" s="20">
        <v>22660</v>
      </c>
      <c r="K23" s="36">
        <v>3</v>
      </c>
      <c r="L23" s="16" t="s">
        <v>220</v>
      </c>
      <c r="M23" s="36">
        <v>223</v>
      </c>
      <c r="N23" s="117">
        <v>4067</v>
      </c>
      <c r="O23" s="36">
        <v>18431</v>
      </c>
      <c r="P23" s="36">
        <v>0</v>
      </c>
      <c r="Q23" s="36">
        <v>14020</v>
      </c>
      <c r="S23" s="36">
        <v>3</v>
      </c>
      <c r="T23" s="16" t="s">
        <v>220</v>
      </c>
      <c r="U23" s="36">
        <v>211</v>
      </c>
      <c r="V23" s="117">
        <v>1754</v>
      </c>
      <c r="W23" s="36">
        <v>8997</v>
      </c>
      <c r="X23" s="36">
        <v>0</v>
      </c>
      <c r="Y23" s="36">
        <v>6250</v>
      </c>
    </row>
    <row r="24" spans="2:25" ht="22.5" customHeight="1" x14ac:dyDescent="0.2">
      <c r="B24" s="20">
        <v>4</v>
      </c>
      <c r="C24" s="20" t="s">
        <v>224</v>
      </c>
      <c r="D24" s="20">
        <v>177</v>
      </c>
      <c r="E24" s="21">
        <v>7972</v>
      </c>
      <c r="F24" s="20">
        <v>52920</v>
      </c>
      <c r="G24" s="20">
        <v>0</v>
      </c>
      <c r="H24" s="20">
        <v>23270</v>
      </c>
      <c r="K24" s="36">
        <v>4</v>
      </c>
      <c r="L24" s="16" t="s">
        <v>224</v>
      </c>
      <c r="M24" s="36">
        <v>177</v>
      </c>
      <c r="N24" s="117">
        <v>6827</v>
      </c>
      <c r="O24" s="36">
        <v>45377</v>
      </c>
      <c r="P24" s="36">
        <v>0</v>
      </c>
      <c r="Q24" s="36">
        <v>21590</v>
      </c>
      <c r="S24" s="36">
        <v>4</v>
      </c>
      <c r="T24" s="16" t="s">
        <v>224</v>
      </c>
      <c r="U24" s="36">
        <v>165</v>
      </c>
      <c r="V24" s="117">
        <v>1229</v>
      </c>
      <c r="W24" s="36">
        <v>7900</v>
      </c>
      <c r="X24" s="36">
        <v>0</v>
      </c>
      <c r="Y24" s="36">
        <v>5000</v>
      </c>
    </row>
    <row r="25" spans="2:25" ht="22.5" customHeight="1" x14ac:dyDescent="0.2">
      <c r="B25" s="20">
        <v>5</v>
      </c>
      <c r="C25" s="20" t="s">
        <v>228</v>
      </c>
      <c r="D25" s="20">
        <v>131</v>
      </c>
      <c r="E25" s="21">
        <v>5154</v>
      </c>
      <c r="F25" s="20">
        <v>19216</v>
      </c>
      <c r="G25" s="20">
        <v>0</v>
      </c>
      <c r="H25" s="20">
        <v>19800</v>
      </c>
      <c r="K25" s="36">
        <v>5</v>
      </c>
      <c r="L25" s="16" t="s">
        <v>228</v>
      </c>
      <c r="M25" s="36">
        <v>129</v>
      </c>
      <c r="N25" s="117">
        <v>4168</v>
      </c>
      <c r="O25" s="36">
        <v>14672</v>
      </c>
      <c r="P25" s="36">
        <v>0</v>
      </c>
      <c r="Q25" s="36">
        <v>13300</v>
      </c>
      <c r="S25" s="36">
        <v>5</v>
      </c>
      <c r="T25" s="16" t="s">
        <v>228</v>
      </c>
      <c r="U25" s="36">
        <v>120</v>
      </c>
      <c r="V25" s="117">
        <v>1146</v>
      </c>
      <c r="W25" s="36">
        <v>5310</v>
      </c>
      <c r="X25" s="36">
        <v>0</v>
      </c>
      <c r="Y25" s="36">
        <v>4358</v>
      </c>
    </row>
    <row r="26" spans="2:25" ht="12.75" x14ac:dyDescent="0.2">
      <c r="K26" s="45"/>
      <c r="L26" s="45"/>
      <c r="M26" s="45"/>
      <c r="N26" s="45"/>
      <c r="O26" s="45"/>
      <c r="P26" s="45"/>
    </row>
    <row r="27" spans="2:25" ht="12.75" x14ac:dyDescent="0.2">
      <c r="K27" s="45"/>
      <c r="L27" s="45"/>
      <c r="M27" s="45"/>
      <c r="N27" s="45"/>
      <c r="O27" s="45"/>
      <c r="P27" s="45"/>
    </row>
    <row r="28" spans="2:25" ht="22.5" customHeight="1" x14ac:dyDescent="0.2">
      <c r="B28" s="14" t="s">
        <v>331</v>
      </c>
      <c r="C28" s="38" t="s">
        <v>8</v>
      </c>
      <c r="D28" s="14" t="s">
        <v>116</v>
      </c>
      <c r="E28" s="14" t="s">
        <v>140</v>
      </c>
      <c r="F28" s="14" t="s">
        <v>141</v>
      </c>
      <c r="G28" s="14" t="s">
        <v>327</v>
      </c>
      <c r="H28" s="14" t="s">
        <v>328</v>
      </c>
      <c r="K28" s="33" t="s">
        <v>8</v>
      </c>
      <c r="L28" s="32" t="s">
        <v>331</v>
      </c>
      <c r="M28" s="32" t="s">
        <v>116</v>
      </c>
      <c r="N28" s="32" t="s">
        <v>140</v>
      </c>
      <c r="O28" s="32" t="s">
        <v>141</v>
      </c>
      <c r="P28" s="32" t="s">
        <v>327</v>
      </c>
      <c r="Q28" s="32" t="s">
        <v>328</v>
      </c>
      <c r="S28" s="32" t="s">
        <v>331</v>
      </c>
      <c r="T28" s="33" t="s">
        <v>8</v>
      </c>
      <c r="U28" s="32" t="s">
        <v>116</v>
      </c>
      <c r="V28" s="32" t="s">
        <v>140</v>
      </c>
      <c r="W28" s="32" t="s">
        <v>141</v>
      </c>
      <c r="X28" s="32" t="s">
        <v>327</v>
      </c>
      <c r="Y28" s="32" t="s">
        <v>328</v>
      </c>
    </row>
    <row r="29" spans="2:25" ht="22.5" customHeight="1" x14ac:dyDescent="0.2">
      <c r="B29" s="20">
        <v>1</v>
      </c>
      <c r="C29" s="34" t="s">
        <v>332</v>
      </c>
      <c r="D29" s="20">
        <v>746</v>
      </c>
      <c r="E29" s="21">
        <v>5232</v>
      </c>
      <c r="F29" s="20">
        <v>19226</v>
      </c>
      <c r="G29" s="20">
        <v>0</v>
      </c>
      <c r="H29" s="20">
        <v>21400</v>
      </c>
      <c r="K29" s="36">
        <v>1</v>
      </c>
      <c r="L29" s="16" t="s">
        <v>1</v>
      </c>
      <c r="M29" s="36">
        <v>743</v>
      </c>
      <c r="N29" s="117">
        <v>3965</v>
      </c>
      <c r="O29" s="36">
        <v>14343</v>
      </c>
      <c r="P29" s="36">
        <v>0</v>
      </c>
      <c r="Q29" s="36">
        <v>16730</v>
      </c>
      <c r="S29" s="36">
        <v>1</v>
      </c>
      <c r="T29" s="16" t="s">
        <v>1</v>
      </c>
      <c r="U29" s="36">
        <v>699</v>
      </c>
      <c r="V29" s="117">
        <v>1370</v>
      </c>
      <c r="W29" s="36">
        <v>8931</v>
      </c>
      <c r="X29" s="36">
        <v>0</v>
      </c>
      <c r="Y29" s="36">
        <v>4415</v>
      </c>
    </row>
    <row r="30" spans="2:25" ht="22.5" customHeight="1" x14ac:dyDescent="0.2">
      <c r="B30" s="20">
        <v>2</v>
      </c>
      <c r="C30" s="34" t="s">
        <v>2</v>
      </c>
      <c r="D30" s="20">
        <v>268</v>
      </c>
      <c r="E30" s="21">
        <v>6917</v>
      </c>
      <c r="F30" s="20">
        <v>44639</v>
      </c>
      <c r="G30" s="20">
        <v>0</v>
      </c>
      <c r="H30" s="20">
        <v>21370</v>
      </c>
      <c r="K30" s="36">
        <v>2</v>
      </c>
      <c r="L30" s="16" t="s">
        <v>2</v>
      </c>
      <c r="M30" s="36">
        <v>267</v>
      </c>
      <c r="N30" s="117">
        <v>4533</v>
      </c>
      <c r="O30" s="36">
        <v>37007</v>
      </c>
      <c r="P30" s="36">
        <v>0</v>
      </c>
      <c r="Q30" s="36">
        <v>13040</v>
      </c>
      <c r="S30" s="36">
        <v>2</v>
      </c>
      <c r="T30" s="16" t="s">
        <v>2</v>
      </c>
      <c r="U30" s="36">
        <v>257</v>
      </c>
      <c r="V30" s="117">
        <v>2504</v>
      </c>
      <c r="W30" s="36">
        <v>11728</v>
      </c>
      <c r="X30" s="36">
        <v>0</v>
      </c>
      <c r="Y30" s="36">
        <v>9360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34"/>
  <sheetViews>
    <sheetView workbookViewId="0"/>
  </sheetViews>
  <sheetFormatPr defaultColWidth="12.5703125" defaultRowHeight="15.75" customHeight="1" x14ac:dyDescent="0.2"/>
  <sheetData>
    <row r="1" spans="1:23" ht="12.75" x14ac:dyDescent="0.2">
      <c r="G1" s="112" t="s">
        <v>333</v>
      </c>
      <c r="H1" s="112"/>
      <c r="I1" s="112"/>
      <c r="J1" s="112"/>
    </row>
    <row r="3" spans="1:23" ht="22.5" customHeight="1" x14ac:dyDescent="0.2">
      <c r="C3" s="32" t="s">
        <v>116</v>
      </c>
      <c r="D3" s="32" t="s">
        <v>140</v>
      </c>
      <c r="E3" s="32" t="s">
        <v>141</v>
      </c>
      <c r="F3" s="32" t="s">
        <v>327</v>
      </c>
      <c r="G3" s="32" t="s">
        <v>328</v>
      </c>
      <c r="K3" s="32" t="s">
        <v>116</v>
      </c>
      <c r="L3" s="32" t="s">
        <v>140</v>
      </c>
      <c r="M3" s="32" t="s">
        <v>141</v>
      </c>
      <c r="N3" s="32" t="s">
        <v>327</v>
      </c>
      <c r="O3" s="32" t="s">
        <v>328</v>
      </c>
      <c r="Q3" s="53" t="s">
        <v>116</v>
      </c>
      <c r="R3" s="33" t="s">
        <v>8</v>
      </c>
      <c r="S3" s="53" t="s">
        <v>140</v>
      </c>
      <c r="T3" s="53" t="s">
        <v>141</v>
      </c>
      <c r="U3" s="53" t="s">
        <v>327</v>
      </c>
      <c r="V3" s="53" t="s">
        <v>328</v>
      </c>
    </row>
    <row r="4" spans="1:23" ht="22.5" customHeight="1" x14ac:dyDescent="0.2">
      <c r="C4" s="36">
        <v>2310</v>
      </c>
      <c r="D4" s="117">
        <v>28067</v>
      </c>
      <c r="E4" s="36">
        <v>53596</v>
      </c>
      <c r="F4" s="36">
        <v>0</v>
      </c>
      <c r="G4" s="36">
        <v>101233</v>
      </c>
      <c r="K4" s="36">
        <v>2244</v>
      </c>
      <c r="L4" s="118">
        <v>10462</v>
      </c>
      <c r="M4" s="36">
        <v>112044</v>
      </c>
      <c r="N4" s="36">
        <v>0</v>
      </c>
      <c r="O4" s="36">
        <v>28885</v>
      </c>
      <c r="Q4" s="36">
        <v>2244</v>
      </c>
      <c r="S4" s="36">
        <v>10462</v>
      </c>
      <c r="T4" s="118">
        <v>112044</v>
      </c>
      <c r="U4" s="36">
        <v>0</v>
      </c>
      <c r="V4" s="36">
        <v>28885</v>
      </c>
    </row>
    <row r="7" spans="1:23" ht="22.5" customHeight="1" x14ac:dyDescent="0.2">
      <c r="A7" s="33" t="s">
        <v>114</v>
      </c>
      <c r="B7" s="32" t="s">
        <v>291</v>
      </c>
      <c r="C7" s="32" t="s">
        <v>116</v>
      </c>
      <c r="D7" s="32" t="s">
        <v>140</v>
      </c>
      <c r="E7" s="32" t="s">
        <v>141</v>
      </c>
      <c r="F7" s="32" t="s">
        <v>327</v>
      </c>
      <c r="G7" s="32" t="s">
        <v>328</v>
      </c>
      <c r="I7" s="33" t="s">
        <v>114</v>
      </c>
      <c r="J7" s="32" t="s">
        <v>291</v>
      </c>
      <c r="K7" s="32" t="s">
        <v>116</v>
      </c>
      <c r="L7" s="32" t="s">
        <v>140</v>
      </c>
      <c r="M7" s="32" t="s">
        <v>141</v>
      </c>
      <c r="N7" s="32" t="s">
        <v>327</v>
      </c>
      <c r="O7" s="32" t="s">
        <v>328</v>
      </c>
      <c r="Q7" s="32" t="s">
        <v>291</v>
      </c>
      <c r="R7" s="33" t="s">
        <v>8</v>
      </c>
      <c r="S7" s="32" t="s">
        <v>116</v>
      </c>
      <c r="T7" s="32" t="s">
        <v>140</v>
      </c>
      <c r="U7" s="32" t="s">
        <v>141</v>
      </c>
      <c r="V7" s="32" t="s">
        <v>327</v>
      </c>
      <c r="W7" s="32" t="s">
        <v>328</v>
      </c>
    </row>
    <row r="8" spans="1:23" ht="22.5" customHeight="1" x14ac:dyDescent="0.2">
      <c r="A8" s="36">
        <v>1</v>
      </c>
      <c r="B8" s="16" t="s">
        <v>212</v>
      </c>
      <c r="C8" s="36">
        <v>362</v>
      </c>
      <c r="D8" s="118">
        <v>20909</v>
      </c>
      <c r="E8" s="36">
        <v>47156</v>
      </c>
      <c r="F8" s="36">
        <v>0</v>
      </c>
      <c r="G8" s="36">
        <v>83330</v>
      </c>
      <c r="I8" s="36">
        <v>1</v>
      </c>
      <c r="J8" s="16" t="s">
        <v>212</v>
      </c>
      <c r="K8" s="36">
        <v>356</v>
      </c>
      <c r="L8" s="118">
        <v>21567</v>
      </c>
      <c r="M8" s="36">
        <v>266425</v>
      </c>
      <c r="N8" s="36">
        <v>0</v>
      </c>
      <c r="O8" s="36">
        <v>34500</v>
      </c>
      <c r="Q8" s="36">
        <v>1</v>
      </c>
      <c r="R8" s="16" t="s">
        <v>212</v>
      </c>
      <c r="S8" s="36">
        <v>365</v>
      </c>
      <c r="T8" s="118">
        <v>41772</v>
      </c>
      <c r="U8" s="36">
        <v>277095</v>
      </c>
      <c r="V8" s="36">
        <v>0</v>
      </c>
      <c r="W8" s="36">
        <v>101820</v>
      </c>
    </row>
    <row r="9" spans="1:23" ht="22.5" customHeight="1" x14ac:dyDescent="0.2">
      <c r="A9" s="36">
        <v>2</v>
      </c>
      <c r="B9" s="16" t="s">
        <v>216</v>
      </c>
      <c r="C9" s="36">
        <v>456</v>
      </c>
      <c r="D9" s="118">
        <v>24664</v>
      </c>
      <c r="E9" s="36">
        <v>47329</v>
      </c>
      <c r="F9" s="36">
        <v>0</v>
      </c>
      <c r="G9" s="36">
        <v>87758</v>
      </c>
      <c r="I9" s="36">
        <v>2</v>
      </c>
      <c r="J9" s="16" t="s">
        <v>216</v>
      </c>
      <c r="K9" s="36">
        <v>445</v>
      </c>
      <c r="L9" s="118">
        <v>10109</v>
      </c>
      <c r="M9" s="36">
        <v>60252</v>
      </c>
      <c r="N9" s="36">
        <v>0</v>
      </c>
      <c r="O9" s="36">
        <v>29400</v>
      </c>
      <c r="Q9" s="36">
        <v>2</v>
      </c>
      <c r="R9" s="16" t="s">
        <v>216</v>
      </c>
      <c r="S9" s="36">
        <v>456</v>
      </c>
      <c r="T9" s="118">
        <v>34529</v>
      </c>
      <c r="U9" s="36">
        <v>92845</v>
      </c>
      <c r="V9" s="36">
        <v>0</v>
      </c>
      <c r="W9" s="36">
        <v>110618</v>
      </c>
    </row>
    <row r="10" spans="1:23" ht="22.5" customHeight="1" x14ac:dyDescent="0.2">
      <c r="A10" s="36">
        <v>3</v>
      </c>
      <c r="B10" s="16" t="s">
        <v>220</v>
      </c>
      <c r="C10" s="36">
        <v>445</v>
      </c>
      <c r="D10" s="118">
        <v>26837</v>
      </c>
      <c r="E10" s="36">
        <v>55458</v>
      </c>
      <c r="F10" s="36">
        <v>0</v>
      </c>
      <c r="G10" s="36">
        <v>110196</v>
      </c>
      <c r="I10" s="36">
        <v>3</v>
      </c>
      <c r="J10" s="16" t="s">
        <v>220</v>
      </c>
      <c r="K10" s="36">
        <v>429</v>
      </c>
      <c r="L10" s="118">
        <v>8116</v>
      </c>
      <c r="M10" s="36">
        <v>22812</v>
      </c>
      <c r="N10" s="36">
        <v>0</v>
      </c>
      <c r="O10" s="36">
        <v>30600</v>
      </c>
      <c r="Q10" s="36">
        <v>3</v>
      </c>
      <c r="R10" s="16" t="s">
        <v>220</v>
      </c>
      <c r="S10" s="36">
        <v>446</v>
      </c>
      <c r="T10" s="118">
        <v>34584</v>
      </c>
      <c r="U10" s="36">
        <v>70761</v>
      </c>
      <c r="V10" s="36">
        <v>0</v>
      </c>
      <c r="W10" s="36">
        <v>124650</v>
      </c>
    </row>
    <row r="11" spans="1:23" ht="22.5" customHeight="1" x14ac:dyDescent="0.2">
      <c r="A11" s="36">
        <v>4</v>
      </c>
      <c r="B11" s="16" t="s">
        <v>224</v>
      </c>
      <c r="C11" s="36">
        <v>496</v>
      </c>
      <c r="D11" s="118">
        <v>28389</v>
      </c>
      <c r="E11" s="36">
        <v>54379</v>
      </c>
      <c r="F11" s="36">
        <v>0</v>
      </c>
      <c r="G11" s="36">
        <v>94020</v>
      </c>
      <c r="I11" s="36">
        <v>4</v>
      </c>
      <c r="J11" s="16" t="s">
        <v>224</v>
      </c>
      <c r="K11" s="36">
        <v>478</v>
      </c>
      <c r="L11" s="118">
        <v>6600</v>
      </c>
      <c r="M11" s="36">
        <v>24842</v>
      </c>
      <c r="N11" s="36">
        <v>0</v>
      </c>
      <c r="O11" s="36">
        <v>25015</v>
      </c>
      <c r="Q11" s="36">
        <v>4</v>
      </c>
      <c r="R11" s="16" t="s">
        <v>224</v>
      </c>
      <c r="S11" s="36">
        <v>498</v>
      </c>
      <c r="T11" s="118">
        <v>34610</v>
      </c>
      <c r="U11" s="36">
        <v>66659</v>
      </c>
      <c r="V11" s="36">
        <v>0</v>
      </c>
      <c r="W11" s="36">
        <v>120150</v>
      </c>
    </row>
    <row r="12" spans="1:23" ht="22.5" customHeight="1" x14ac:dyDescent="0.2">
      <c r="A12" s="36">
        <v>5</v>
      </c>
      <c r="B12" s="16" t="s">
        <v>228</v>
      </c>
      <c r="C12" s="36">
        <v>551</v>
      </c>
      <c r="D12" s="118">
        <v>36288</v>
      </c>
      <c r="E12" s="36">
        <v>59077</v>
      </c>
      <c r="F12" s="36">
        <v>0</v>
      </c>
      <c r="G12" s="36">
        <v>127210</v>
      </c>
      <c r="I12" s="36">
        <v>5</v>
      </c>
      <c r="J12" s="16" t="s">
        <v>228</v>
      </c>
      <c r="K12" s="36">
        <v>536</v>
      </c>
      <c r="L12" s="118">
        <v>8701</v>
      </c>
      <c r="M12" s="36">
        <v>38078</v>
      </c>
      <c r="N12" s="36">
        <v>0</v>
      </c>
      <c r="O12" s="36">
        <v>32250</v>
      </c>
      <c r="Q12" s="36">
        <v>5</v>
      </c>
      <c r="R12" s="16" t="s">
        <v>228</v>
      </c>
      <c r="S12" s="36">
        <v>553</v>
      </c>
      <c r="T12" s="118">
        <v>44590</v>
      </c>
      <c r="U12" s="36">
        <v>88000</v>
      </c>
      <c r="V12" s="36">
        <v>0</v>
      </c>
      <c r="W12" s="36">
        <v>147836</v>
      </c>
    </row>
    <row r="14" spans="1:23" ht="12.75" x14ac:dyDescent="0.2">
      <c r="L14" s="39" t="s">
        <v>334</v>
      </c>
    </row>
    <row r="15" spans="1:23" ht="22.5" customHeight="1" x14ac:dyDescent="0.2">
      <c r="A15" s="32" t="s">
        <v>114</v>
      </c>
      <c r="B15" s="33" t="s">
        <v>326</v>
      </c>
      <c r="C15" s="32" t="s">
        <v>116</v>
      </c>
      <c r="D15" s="32" t="s">
        <v>140</v>
      </c>
      <c r="E15" s="32" t="s">
        <v>141</v>
      </c>
      <c r="F15" s="32" t="s">
        <v>327</v>
      </c>
      <c r="G15" s="32" t="s">
        <v>328</v>
      </c>
      <c r="I15" s="33" t="s">
        <v>114</v>
      </c>
      <c r="J15" s="32" t="s">
        <v>326</v>
      </c>
      <c r="K15" s="32" t="s">
        <v>116</v>
      </c>
      <c r="L15" s="32" t="s">
        <v>140</v>
      </c>
      <c r="M15" s="32" t="s">
        <v>141</v>
      </c>
      <c r="N15" s="32" t="s">
        <v>327</v>
      </c>
      <c r="O15" s="32" t="s">
        <v>328</v>
      </c>
      <c r="Q15" s="32" t="s">
        <v>326</v>
      </c>
      <c r="R15" s="33" t="s">
        <v>8</v>
      </c>
      <c r="S15" s="32" t="s">
        <v>116</v>
      </c>
      <c r="T15" s="32" t="s">
        <v>140</v>
      </c>
      <c r="U15" s="32" t="s">
        <v>141</v>
      </c>
      <c r="V15" s="32" t="s">
        <v>327</v>
      </c>
      <c r="W15" s="32" t="s">
        <v>328</v>
      </c>
    </row>
    <row r="16" spans="1:23" ht="22.5" customHeight="1" x14ac:dyDescent="0.2">
      <c r="A16" s="36">
        <v>1</v>
      </c>
      <c r="B16" s="16" t="s">
        <v>67</v>
      </c>
      <c r="C16" s="36">
        <v>959</v>
      </c>
      <c r="D16" s="117">
        <v>30500</v>
      </c>
      <c r="E16" s="36">
        <v>64135</v>
      </c>
      <c r="F16" s="36">
        <v>0</v>
      </c>
      <c r="G16" s="36">
        <v>121354</v>
      </c>
      <c r="I16" s="36">
        <v>1</v>
      </c>
      <c r="J16" s="16" t="s">
        <v>67</v>
      </c>
      <c r="K16" s="36">
        <v>939</v>
      </c>
      <c r="L16" s="118">
        <v>17253</v>
      </c>
      <c r="M16" s="36">
        <v>171825</v>
      </c>
      <c r="N16" s="36">
        <v>0</v>
      </c>
      <c r="O16" s="36">
        <v>40030</v>
      </c>
      <c r="Q16" s="36">
        <v>1</v>
      </c>
      <c r="R16" s="16" t="s">
        <v>67</v>
      </c>
      <c r="S16" s="36">
        <v>966</v>
      </c>
      <c r="T16" s="118">
        <v>47050</v>
      </c>
      <c r="U16" s="36">
        <v>195003</v>
      </c>
      <c r="V16" s="36">
        <v>0</v>
      </c>
      <c r="W16" s="36">
        <v>142875</v>
      </c>
    </row>
    <row r="17" spans="1:23" ht="22.5" customHeight="1" x14ac:dyDescent="0.2">
      <c r="A17" s="36">
        <v>2</v>
      </c>
      <c r="B17" s="16" t="s">
        <v>68</v>
      </c>
      <c r="C17" s="36">
        <v>787</v>
      </c>
      <c r="D17" s="117">
        <v>28808</v>
      </c>
      <c r="E17" s="36">
        <v>51769</v>
      </c>
      <c r="F17" s="36">
        <v>0</v>
      </c>
      <c r="G17" s="36">
        <v>103520</v>
      </c>
      <c r="I17" s="36">
        <v>2</v>
      </c>
      <c r="J17" s="16" t="s">
        <v>68</v>
      </c>
      <c r="K17" s="36">
        <v>764</v>
      </c>
      <c r="L17" s="118">
        <v>7001</v>
      </c>
      <c r="M17" s="36">
        <v>19848</v>
      </c>
      <c r="N17" s="36">
        <v>0</v>
      </c>
      <c r="O17" s="36">
        <v>26962</v>
      </c>
      <c r="Q17" s="36">
        <v>2</v>
      </c>
      <c r="R17" s="16" t="s">
        <v>68</v>
      </c>
      <c r="S17" s="36">
        <v>788</v>
      </c>
      <c r="T17" s="118">
        <v>35559</v>
      </c>
      <c r="U17" s="36">
        <v>62571</v>
      </c>
      <c r="V17" s="36">
        <v>0</v>
      </c>
      <c r="W17" s="36">
        <v>121255</v>
      </c>
    </row>
    <row r="18" spans="1:23" ht="22.5" customHeight="1" x14ac:dyDescent="0.2">
      <c r="A18" s="36">
        <v>3</v>
      </c>
      <c r="B18" s="16" t="s">
        <v>69</v>
      </c>
      <c r="C18" s="36">
        <v>295</v>
      </c>
      <c r="D18" s="117">
        <v>22517</v>
      </c>
      <c r="E18" s="36">
        <v>30512</v>
      </c>
      <c r="F18" s="36">
        <v>0</v>
      </c>
      <c r="G18" s="36">
        <v>86299</v>
      </c>
      <c r="I18" s="36">
        <v>3</v>
      </c>
      <c r="J18" s="16" t="s">
        <v>69</v>
      </c>
      <c r="K18" s="36">
        <v>277</v>
      </c>
      <c r="L18" s="118">
        <v>4049</v>
      </c>
      <c r="M18" s="36">
        <v>15783</v>
      </c>
      <c r="N18" s="36">
        <v>0</v>
      </c>
      <c r="O18" s="36">
        <v>15200</v>
      </c>
      <c r="Q18" s="36">
        <v>3</v>
      </c>
      <c r="R18" s="16" t="s">
        <v>69</v>
      </c>
      <c r="S18" s="36">
        <v>295</v>
      </c>
      <c r="T18" s="118">
        <v>26318</v>
      </c>
      <c r="U18" s="36">
        <v>34823</v>
      </c>
      <c r="V18" s="36">
        <v>0</v>
      </c>
      <c r="W18" s="36">
        <v>100469</v>
      </c>
    </row>
    <row r="19" spans="1:23" ht="22.5" customHeight="1" x14ac:dyDescent="0.2">
      <c r="A19" s="36">
        <v>4</v>
      </c>
      <c r="B19" s="16" t="s">
        <v>70</v>
      </c>
      <c r="C19" s="36">
        <v>269</v>
      </c>
      <c r="D19" s="117">
        <v>23308</v>
      </c>
      <c r="E19" s="36">
        <v>32924</v>
      </c>
      <c r="F19" s="36">
        <v>0</v>
      </c>
      <c r="G19" s="36">
        <v>79740</v>
      </c>
      <c r="I19" s="36">
        <v>4</v>
      </c>
      <c r="J19" s="16" t="s">
        <v>70</v>
      </c>
      <c r="K19" s="36">
        <v>264</v>
      </c>
      <c r="L19" s="118">
        <v>3050</v>
      </c>
      <c r="M19" s="36">
        <v>8154</v>
      </c>
      <c r="N19" s="36">
        <v>0</v>
      </c>
      <c r="O19" s="36">
        <v>14700</v>
      </c>
      <c r="Q19" s="36">
        <v>4</v>
      </c>
      <c r="R19" s="16" t="s">
        <v>70</v>
      </c>
      <c r="S19" s="36">
        <v>269</v>
      </c>
      <c r="T19" s="118">
        <v>26302</v>
      </c>
      <c r="U19" s="36">
        <v>35295</v>
      </c>
      <c r="V19" s="36">
        <v>0</v>
      </c>
      <c r="W19" s="36">
        <v>84260</v>
      </c>
    </row>
    <row r="22" spans="1:23" ht="22.5" customHeight="1" x14ac:dyDescent="0.2">
      <c r="A22" s="32" t="s">
        <v>114</v>
      </c>
      <c r="B22" s="33" t="s">
        <v>0</v>
      </c>
      <c r="C22" s="32" t="s">
        <v>116</v>
      </c>
      <c r="D22" s="32" t="s">
        <v>140</v>
      </c>
      <c r="E22" s="32" t="s">
        <v>141</v>
      </c>
      <c r="F22" s="32" t="s">
        <v>327</v>
      </c>
      <c r="G22" s="32" t="s">
        <v>328</v>
      </c>
      <c r="I22" s="33" t="s">
        <v>114</v>
      </c>
      <c r="J22" s="32" t="s">
        <v>0</v>
      </c>
      <c r="K22" s="32" t="s">
        <v>116</v>
      </c>
      <c r="L22" s="32" t="s">
        <v>140</v>
      </c>
      <c r="M22" s="32" t="s">
        <v>141</v>
      </c>
      <c r="N22" s="32" t="s">
        <v>327</v>
      </c>
      <c r="O22" s="32" t="s">
        <v>328</v>
      </c>
      <c r="Q22" s="32" t="s">
        <v>0</v>
      </c>
      <c r="R22" s="33" t="s">
        <v>8</v>
      </c>
      <c r="S22" s="32" t="s">
        <v>116</v>
      </c>
      <c r="T22" s="32" t="s">
        <v>140</v>
      </c>
      <c r="U22" s="32" t="s">
        <v>141</v>
      </c>
      <c r="V22" s="32" t="s">
        <v>327</v>
      </c>
      <c r="W22" s="32" t="s">
        <v>328</v>
      </c>
    </row>
    <row r="23" spans="1:23" ht="22.5" customHeight="1" x14ac:dyDescent="0.2">
      <c r="A23" s="36">
        <v>1</v>
      </c>
      <c r="B23" s="16" t="s">
        <v>11</v>
      </c>
      <c r="C23" s="36">
        <v>328</v>
      </c>
      <c r="D23" s="117">
        <v>17911</v>
      </c>
      <c r="E23" s="36">
        <v>29360</v>
      </c>
      <c r="F23" s="36">
        <v>0</v>
      </c>
      <c r="G23" s="36">
        <v>69427</v>
      </c>
      <c r="I23" s="36">
        <v>1</v>
      </c>
      <c r="J23" s="16" t="s">
        <v>11</v>
      </c>
      <c r="K23" s="36">
        <v>317</v>
      </c>
      <c r="L23" s="118">
        <v>4679</v>
      </c>
      <c r="M23" s="36">
        <v>10239</v>
      </c>
      <c r="N23" s="36">
        <v>0</v>
      </c>
      <c r="O23" s="36">
        <v>19840</v>
      </c>
      <c r="Q23" s="36">
        <v>1</v>
      </c>
      <c r="R23" s="16" t="s">
        <v>11</v>
      </c>
      <c r="S23" s="36">
        <v>332</v>
      </c>
      <c r="T23" s="118">
        <v>22162</v>
      </c>
      <c r="U23" s="36">
        <v>34371</v>
      </c>
      <c r="V23" s="36">
        <v>0</v>
      </c>
      <c r="W23" s="36">
        <v>83727</v>
      </c>
    </row>
    <row r="24" spans="1:23" ht="22.5" customHeight="1" x14ac:dyDescent="0.2">
      <c r="A24" s="36">
        <v>2</v>
      </c>
      <c r="B24" s="16" t="s">
        <v>18</v>
      </c>
      <c r="C24" s="36">
        <v>321</v>
      </c>
      <c r="D24" s="117">
        <v>31998</v>
      </c>
      <c r="E24" s="36">
        <v>50759</v>
      </c>
      <c r="F24" s="36">
        <v>500</v>
      </c>
      <c r="G24" s="36">
        <v>98008</v>
      </c>
      <c r="I24" s="36">
        <v>2</v>
      </c>
      <c r="J24" s="16" t="s">
        <v>18</v>
      </c>
      <c r="K24" s="36">
        <v>311</v>
      </c>
      <c r="L24" s="118">
        <v>21812</v>
      </c>
      <c r="M24" s="36">
        <v>284796</v>
      </c>
      <c r="N24" s="36">
        <v>0</v>
      </c>
      <c r="O24" s="36">
        <v>21250</v>
      </c>
      <c r="Q24" s="36">
        <v>2</v>
      </c>
      <c r="R24" s="16" t="s">
        <v>18</v>
      </c>
      <c r="S24" s="36">
        <v>322</v>
      </c>
      <c r="T24" s="118">
        <v>52966</v>
      </c>
      <c r="U24" s="36">
        <v>292780</v>
      </c>
      <c r="V24" s="36">
        <v>1324</v>
      </c>
      <c r="W24" s="36">
        <v>112167</v>
      </c>
    </row>
    <row r="25" spans="1:23" ht="22.5" customHeight="1" x14ac:dyDescent="0.2">
      <c r="A25" s="36">
        <v>3</v>
      </c>
      <c r="B25" s="16" t="s">
        <v>23</v>
      </c>
      <c r="C25" s="36">
        <v>774</v>
      </c>
      <c r="D25" s="117">
        <v>26497</v>
      </c>
      <c r="E25" s="36">
        <v>44346</v>
      </c>
      <c r="F25" s="36">
        <v>0</v>
      </c>
      <c r="G25" s="36">
        <v>99341</v>
      </c>
      <c r="I25" s="36">
        <v>3</v>
      </c>
      <c r="J25" s="16" t="s">
        <v>23</v>
      </c>
      <c r="K25" s="36">
        <v>744</v>
      </c>
      <c r="L25" s="118">
        <v>5511</v>
      </c>
      <c r="M25" s="36">
        <v>19383</v>
      </c>
      <c r="N25" s="36">
        <v>0</v>
      </c>
      <c r="O25" s="36">
        <v>21925</v>
      </c>
      <c r="Q25" s="36">
        <v>3</v>
      </c>
      <c r="R25" s="16" t="s">
        <v>23</v>
      </c>
      <c r="S25" s="36">
        <v>775</v>
      </c>
      <c r="T25" s="118">
        <v>31753</v>
      </c>
      <c r="U25" s="36">
        <v>54072</v>
      </c>
      <c r="V25" s="36">
        <v>0</v>
      </c>
      <c r="W25" s="36">
        <v>120450</v>
      </c>
    </row>
    <row r="26" spans="1:23" ht="22.5" customHeight="1" x14ac:dyDescent="0.2">
      <c r="A26" s="36">
        <v>4</v>
      </c>
      <c r="B26" s="16" t="s">
        <v>28</v>
      </c>
      <c r="C26" s="36">
        <v>246</v>
      </c>
      <c r="D26" s="117">
        <v>23614</v>
      </c>
      <c r="E26" s="36">
        <v>46824</v>
      </c>
      <c r="F26" s="36">
        <v>0</v>
      </c>
      <c r="G26" s="36">
        <v>86062</v>
      </c>
      <c r="I26" s="36">
        <v>4</v>
      </c>
      <c r="J26" s="16" t="s">
        <v>28</v>
      </c>
      <c r="K26" s="36">
        <v>238</v>
      </c>
      <c r="L26" s="118">
        <v>7423</v>
      </c>
      <c r="M26" s="36">
        <v>27997</v>
      </c>
      <c r="N26" s="36">
        <v>0</v>
      </c>
      <c r="O26" s="36">
        <v>24695</v>
      </c>
      <c r="Q26" s="36">
        <v>4</v>
      </c>
      <c r="R26" s="16" t="s">
        <v>28</v>
      </c>
      <c r="S26" s="36">
        <v>248</v>
      </c>
      <c r="T26" s="118">
        <v>30547</v>
      </c>
      <c r="U26" s="36">
        <v>57862</v>
      </c>
      <c r="V26" s="36">
        <v>0</v>
      </c>
      <c r="W26" s="36">
        <v>100558</v>
      </c>
    </row>
    <row r="27" spans="1:23" ht="22.5" customHeight="1" x14ac:dyDescent="0.2">
      <c r="A27" s="36">
        <v>5</v>
      </c>
      <c r="B27" s="16" t="s">
        <v>33</v>
      </c>
      <c r="C27" s="36">
        <v>350</v>
      </c>
      <c r="D27" s="117">
        <v>51041</v>
      </c>
      <c r="E27" s="36">
        <v>92779</v>
      </c>
      <c r="F27" s="36">
        <v>1422</v>
      </c>
      <c r="G27" s="36">
        <v>213525</v>
      </c>
      <c r="I27" s="36">
        <v>5</v>
      </c>
      <c r="J27" s="16" t="s">
        <v>33</v>
      </c>
      <c r="K27" s="36">
        <v>345</v>
      </c>
      <c r="L27" s="118">
        <v>19968</v>
      </c>
      <c r="M27" s="36">
        <v>82442</v>
      </c>
      <c r="N27" s="36">
        <v>0</v>
      </c>
      <c r="O27" s="36">
        <v>55120</v>
      </c>
      <c r="Q27" s="36">
        <v>5</v>
      </c>
      <c r="R27" s="16" t="s">
        <v>33</v>
      </c>
      <c r="S27" s="36">
        <v>350</v>
      </c>
      <c r="T27" s="118">
        <v>70724</v>
      </c>
      <c r="U27" s="36">
        <v>157010</v>
      </c>
      <c r="V27" s="36">
        <v>1800</v>
      </c>
      <c r="W27" s="36">
        <v>256640</v>
      </c>
    </row>
    <row r="28" spans="1:23" ht="22.5" customHeight="1" x14ac:dyDescent="0.2">
      <c r="A28" s="36">
        <v>6</v>
      </c>
      <c r="B28" s="16" t="s">
        <v>38</v>
      </c>
      <c r="C28" s="36">
        <v>132</v>
      </c>
      <c r="D28" s="117">
        <v>17772</v>
      </c>
      <c r="E28" s="36">
        <v>28834</v>
      </c>
      <c r="F28" s="36">
        <v>0</v>
      </c>
      <c r="G28" s="36">
        <v>72980</v>
      </c>
      <c r="I28" s="36">
        <v>6</v>
      </c>
      <c r="J28" s="16" t="s">
        <v>38</v>
      </c>
      <c r="K28" s="36">
        <v>131</v>
      </c>
      <c r="L28" s="118">
        <v>8036</v>
      </c>
      <c r="M28" s="36">
        <v>16002</v>
      </c>
      <c r="N28" s="36">
        <v>0</v>
      </c>
      <c r="O28" s="36">
        <v>33000</v>
      </c>
      <c r="Q28" s="36">
        <v>6</v>
      </c>
      <c r="R28" s="16" t="s">
        <v>38</v>
      </c>
      <c r="S28" s="36">
        <v>132</v>
      </c>
      <c r="T28" s="118">
        <v>25748</v>
      </c>
      <c r="U28" s="36">
        <v>41811</v>
      </c>
      <c r="V28" s="36">
        <v>180</v>
      </c>
      <c r="W28" s="36">
        <v>97575</v>
      </c>
    </row>
    <row r="29" spans="1:23" ht="22.5" customHeight="1" x14ac:dyDescent="0.2">
      <c r="A29" s="36">
        <v>7</v>
      </c>
      <c r="B29" s="16" t="s">
        <v>42</v>
      </c>
      <c r="C29" s="36">
        <v>159</v>
      </c>
      <c r="D29" s="117">
        <v>13584</v>
      </c>
      <c r="E29" s="36">
        <v>22246</v>
      </c>
      <c r="F29" s="36">
        <v>0</v>
      </c>
      <c r="G29" s="36">
        <v>52810</v>
      </c>
      <c r="I29" s="36">
        <v>7</v>
      </c>
      <c r="J29" s="16" t="s">
        <v>42</v>
      </c>
      <c r="K29" s="36">
        <v>158</v>
      </c>
      <c r="L29" s="118">
        <v>8871</v>
      </c>
      <c r="M29" s="36">
        <v>16332</v>
      </c>
      <c r="N29" s="36">
        <v>0</v>
      </c>
      <c r="O29" s="36">
        <v>43255</v>
      </c>
      <c r="Q29" s="36">
        <v>7</v>
      </c>
      <c r="R29" s="16" t="s">
        <v>42</v>
      </c>
      <c r="S29" s="36">
        <v>159</v>
      </c>
      <c r="T29" s="118">
        <v>22400</v>
      </c>
      <c r="U29" s="36">
        <v>32319</v>
      </c>
      <c r="V29" s="36">
        <v>0</v>
      </c>
      <c r="W29" s="36">
        <v>77840</v>
      </c>
    </row>
    <row r="32" spans="1:23" ht="22.5" customHeight="1" x14ac:dyDescent="0.2">
      <c r="A32" s="32" t="s">
        <v>114</v>
      </c>
      <c r="B32" s="33" t="s">
        <v>331</v>
      </c>
      <c r="C32" s="32" t="s">
        <v>116</v>
      </c>
      <c r="D32" s="32" t="s">
        <v>140</v>
      </c>
      <c r="E32" s="32" t="s">
        <v>141</v>
      </c>
      <c r="F32" s="32" t="s">
        <v>327</v>
      </c>
      <c r="G32" s="32" t="s">
        <v>328</v>
      </c>
      <c r="I32" s="33" t="s">
        <v>329</v>
      </c>
      <c r="J32" s="32" t="s">
        <v>331</v>
      </c>
      <c r="K32" s="32" t="s">
        <v>116</v>
      </c>
      <c r="L32" s="32" t="s">
        <v>140</v>
      </c>
      <c r="M32" s="32" t="s">
        <v>141</v>
      </c>
      <c r="N32" s="32" t="s">
        <v>327</v>
      </c>
      <c r="O32" s="32" t="s">
        <v>328</v>
      </c>
      <c r="Q32" s="32" t="s">
        <v>331</v>
      </c>
      <c r="R32" s="33" t="s">
        <v>8</v>
      </c>
      <c r="S32" s="32" t="s">
        <v>116</v>
      </c>
      <c r="T32" s="32" t="s">
        <v>140</v>
      </c>
      <c r="U32" s="32" t="s">
        <v>141</v>
      </c>
      <c r="V32" s="32" t="s">
        <v>327</v>
      </c>
      <c r="W32" s="32" t="s">
        <v>328</v>
      </c>
    </row>
    <row r="33" spans="1:23" ht="22.5" customHeight="1" x14ac:dyDescent="0.2">
      <c r="A33" s="36">
        <v>1</v>
      </c>
      <c r="B33" s="16" t="s">
        <v>332</v>
      </c>
      <c r="C33" s="36">
        <v>1625</v>
      </c>
      <c r="D33" s="118">
        <v>28227</v>
      </c>
      <c r="E33" s="36">
        <v>52432</v>
      </c>
      <c r="F33" s="36">
        <v>0</v>
      </c>
      <c r="G33" s="36">
        <v>100856</v>
      </c>
      <c r="I33" s="36">
        <v>1</v>
      </c>
      <c r="J33" s="16" t="s">
        <v>332</v>
      </c>
      <c r="K33" s="36">
        <v>1577</v>
      </c>
      <c r="L33" s="118">
        <v>9234</v>
      </c>
      <c r="M33" s="36">
        <v>127604</v>
      </c>
      <c r="N33" s="36">
        <v>0</v>
      </c>
      <c r="O33" s="36">
        <v>25180</v>
      </c>
      <c r="Q33" s="36">
        <v>1</v>
      </c>
      <c r="R33" s="16" t="s">
        <v>332</v>
      </c>
      <c r="S33" s="36">
        <v>1628</v>
      </c>
      <c r="T33" s="118">
        <v>37120</v>
      </c>
      <c r="U33" s="36">
        <v>142738</v>
      </c>
      <c r="V33" s="36">
        <v>0</v>
      </c>
      <c r="W33" s="36">
        <v>122490</v>
      </c>
    </row>
    <row r="34" spans="1:23" ht="22.5" customHeight="1" x14ac:dyDescent="0.2">
      <c r="A34" s="36">
        <v>2</v>
      </c>
      <c r="B34" s="16" t="s">
        <v>2</v>
      </c>
      <c r="C34" s="36">
        <v>685</v>
      </c>
      <c r="D34" s="118">
        <v>27687</v>
      </c>
      <c r="E34" s="36">
        <v>56299</v>
      </c>
      <c r="F34" s="36">
        <v>0</v>
      </c>
      <c r="G34" s="36">
        <v>103630</v>
      </c>
      <c r="I34" s="36">
        <v>2</v>
      </c>
      <c r="J34" s="16" t="s">
        <v>2</v>
      </c>
      <c r="K34" s="36">
        <v>667</v>
      </c>
      <c r="L34" s="118">
        <v>13365</v>
      </c>
      <c r="M34" s="36">
        <v>61129</v>
      </c>
      <c r="N34" s="36">
        <v>0</v>
      </c>
      <c r="O34" s="36">
        <v>38500</v>
      </c>
      <c r="Q34" s="36">
        <v>2</v>
      </c>
      <c r="R34" s="16" t="s">
        <v>2</v>
      </c>
      <c r="S34" s="36">
        <v>690</v>
      </c>
      <c r="T34" s="118">
        <v>40406</v>
      </c>
      <c r="U34" s="36">
        <v>104149</v>
      </c>
      <c r="V34" s="36">
        <v>0</v>
      </c>
      <c r="W34" s="36">
        <v>141245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W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3" width="16.85546875" customWidth="1"/>
    <col min="5" max="5" width="12.85546875" customWidth="1"/>
    <col min="11" max="11" width="16.85546875" customWidth="1"/>
    <col min="12" max="13" width="15.85546875" customWidth="1"/>
    <col min="15" max="15" width="15.85546875" customWidth="1"/>
    <col min="17" max="17" width="10" customWidth="1"/>
    <col min="18" max="18" width="13.7109375" customWidth="1"/>
    <col min="19" max="20" width="15.85546875" customWidth="1"/>
    <col min="22" max="22" width="15.85546875" customWidth="1"/>
  </cols>
  <sheetData>
    <row r="1" spans="2:23" ht="22.5" customHeight="1" x14ac:dyDescent="0.2">
      <c r="B1" s="112" t="s">
        <v>335</v>
      </c>
      <c r="J1" s="33" t="s">
        <v>266</v>
      </c>
      <c r="K1" s="32" t="s">
        <v>291</v>
      </c>
      <c r="L1" s="33" t="s">
        <v>8</v>
      </c>
      <c r="M1" s="33" t="s">
        <v>233</v>
      </c>
      <c r="N1" s="33" t="s">
        <v>263</v>
      </c>
      <c r="O1" s="33" t="s">
        <v>268</v>
      </c>
      <c r="Q1" s="33" t="s">
        <v>266</v>
      </c>
      <c r="R1" s="32" t="s">
        <v>291</v>
      </c>
      <c r="S1" s="33" t="s">
        <v>8</v>
      </c>
      <c r="T1" s="33" t="s">
        <v>233</v>
      </c>
      <c r="U1" s="33" t="s">
        <v>263</v>
      </c>
      <c r="V1" s="33" t="s">
        <v>268</v>
      </c>
    </row>
    <row r="2" spans="2:23" ht="22.5" customHeight="1" x14ac:dyDescent="0.2">
      <c r="B2" s="32" t="s">
        <v>114</v>
      </c>
      <c r="C2" s="33" t="s">
        <v>291</v>
      </c>
      <c r="D2" s="1" t="s">
        <v>336</v>
      </c>
      <c r="E2" s="1" t="s">
        <v>140</v>
      </c>
      <c r="F2" s="1" t="s">
        <v>141</v>
      </c>
      <c r="G2" s="1" t="s">
        <v>337</v>
      </c>
      <c r="H2" s="1" t="s">
        <v>328</v>
      </c>
      <c r="J2" s="27"/>
      <c r="K2" s="27" t="s">
        <v>336</v>
      </c>
      <c r="L2" s="119" t="s">
        <v>140</v>
      </c>
      <c r="M2" s="119" t="s">
        <v>141</v>
      </c>
      <c r="N2" s="27" t="s">
        <v>337</v>
      </c>
      <c r="O2" s="119" t="s">
        <v>328</v>
      </c>
      <c r="R2" s="27" t="s">
        <v>336</v>
      </c>
      <c r="S2" s="119" t="s">
        <v>338</v>
      </c>
      <c r="T2" s="119" t="s">
        <v>339</v>
      </c>
      <c r="U2" s="27" t="s">
        <v>340</v>
      </c>
      <c r="V2" s="119" t="s">
        <v>341</v>
      </c>
    </row>
    <row r="3" spans="2:23" ht="22.5" customHeight="1" x14ac:dyDescent="0.2">
      <c r="B3" s="36">
        <v>1</v>
      </c>
      <c r="C3" s="16" t="s">
        <v>212</v>
      </c>
      <c r="D3" s="12">
        <v>45</v>
      </c>
      <c r="E3" s="120">
        <v>81768</v>
      </c>
      <c r="F3" s="121">
        <v>128407</v>
      </c>
      <c r="G3" s="121">
        <v>408</v>
      </c>
      <c r="H3" s="121">
        <v>259400</v>
      </c>
      <c r="J3" s="12" t="s">
        <v>212</v>
      </c>
      <c r="K3" s="12">
        <v>45</v>
      </c>
      <c r="L3" s="120">
        <v>16760</v>
      </c>
      <c r="M3" s="121">
        <v>14917</v>
      </c>
      <c r="N3" s="12">
        <v>0</v>
      </c>
      <c r="O3" s="121">
        <v>42784</v>
      </c>
      <c r="Q3" s="16" t="s">
        <v>212</v>
      </c>
      <c r="R3" s="12">
        <v>45</v>
      </c>
      <c r="S3" s="121">
        <v>98528</v>
      </c>
      <c r="T3" s="121">
        <v>133718</v>
      </c>
      <c r="U3" s="13">
        <v>1564</v>
      </c>
      <c r="V3" s="121">
        <v>277000</v>
      </c>
    </row>
    <row r="4" spans="2:23" ht="22.5" customHeight="1" x14ac:dyDescent="0.2">
      <c r="B4" s="36">
        <v>2</v>
      </c>
      <c r="C4" s="16" t="s">
        <v>216</v>
      </c>
      <c r="D4" s="12">
        <v>64</v>
      </c>
      <c r="E4" s="120">
        <v>93938</v>
      </c>
      <c r="F4" s="121">
        <v>128517</v>
      </c>
      <c r="G4" s="121">
        <v>409</v>
      </c>
      <c r="H4" s="121">
        <v>431508</v>
      </c>
      <c r="J4" s="12" t="s">
        <v>216</v>
      </c>
      <c r="K4" s="12">
        <v>64</v>
      </c>
      <c r="L4" s="120">
        <v>134778</v>
      </c>
      <c r="M4" s="121">
        <v>767985</v>
      </c>
      <c r="N4" s="12">
        <v>0</v>
      </c>
      <c r="O4" s="121">
        <v>189000</v>
      </c>
      <c r="Q4" s="16" t="s">
        <v>216</v>
      </c>
      <c r="R4" s="12">
        <v>64</v>
      </c>
      <c r="S4" s="121">
        <v>228716</v>
      </c>
      <c r="T4" s="121">
        <v>840668</v>
      </c>
      <c r="U4" s="12">
        <v>562</v>
      </c>
      <c r="V4" s="121">
        <v>549200</v>
      </c>
    </row>
    <row r="5" spans="2:23" ht="22.5" customHeight="1" x14ac:dyDescent="0.2">
      <c r="B5" s="36">
        <v>3</v>
      </c>
      <c r="C5" s="16" t="s">
        <v>220</v>
      </c>
      <c r="D5" s="12">
        <v>43</v>
      </c>
      <c r="E5" s="120">
        <v>94031</v>
      </c>
      <c r="F5" s="121">
        <v>146259</v>
      </c>
      <c r="G5" s="121">
        <v>2900</v>
      </c>
      <c r="H5" s="121">
        <v>330300</v>
      </c>
      <c r="J5" s="12" t="s">
        <v>220</v>
      </c>
      <c r="K5" s="12">
        <v>43</v>
      </c>
      <c r="L5" s="120">
        <v>9392</v>
      </c>
      <c r="M5" s="121">
        <v>14988</v>
      </c>
      <c r="N5" s="12">
        <v>0</v>
      </c>
      <c r="O5" s="121">
        <v>26700</v>
      </c>
      <c r="Q5" s="16" t="s">
        <v>220</v>
      </c>
      <c r="R5" s="12">
        <v>43</v>
      </c>
      <c r="S5" s="121">
        <v>103423</v>
      </c>
      <c r="T5" s="121">
        <v>152700</v>
      </c>
      <c r="U5" s="13">
        <v>3050</v>
      </c>
      <c r="V5" s="121">
        <v>413700</v>
      </c>
    </row>
    <row r="6" spans="2:23" ht="22.5" customHeight="1" x14ac:dyDescent="0.2">
      <c r="B6" s="36">
        <v>4</v>
      </c>
      <c r="C6" s="16" t="s">
        <v>224</v>
      </c>
      <c r="D6" s="12">
        <v>34</v>
      </c>
      <c r="E6" s="120">
        <v>119663</v>
      </c>
      <c r="F6" s="121">
        <v>159340</v>
      </c>
      <c r="G6" s="121">
        <v>8130</v>
      </c>
      <c r="H6" s="121">
        <v>410200</v>
      </c>
      <c r="J6" s="12" t="s">
        <v>224</v>
      </c>
      <c r="K6" s="12">
        <v>34</v>
      </c>
      <c r="L6" s="120">
        <v>26244</v>
      </c>
      <c r="M6" s="121">
        <v>65355</v>
      </c>
      <c r="N6" s="12">
        <v>0</v>
      </c>
      <c r="O6" s="121">
        <v>91550</v>
      </c>
      <c r="Q6" s="16" t="s">
        <v>224</v>
      </c>
      <c r="R6" s="12">
        <v>34</v>
      </c>
      <c r="S6" s="121">
        <v>145907</v>
      </c>
      <c r="T6" s="121">
        <v>197931</v>
      </c>
      <c r="U6" s="13">
        <v>10950</v>
      </c>
      <c r="V6" s="121">
        <v>583000</v>
      </c>
    </row>
    <row r="7" spans="2:23" ht="22.5" customHeight="1" x14ac:dyDescent="0.2">
      <c r="B7" s="36">
        <v>5</v>
      </c>
      <c r="C7" s="16" t="s">
        <v>228</v>
      </c>
      <c r="D7" s="12">
        <v>49</v>
      </c>
      <c r="E7" s="120">
        <v>109256</v>
      </c>
      <c r="F7" s="121">
        <v>195441</v>
      </c>
      <c r="G7" s="121">
        <v>1627</v>
      </c>
      <c r="H7" s="121">
        <v>376080</v>
      </c>
      <c r="J7" s="12" t="s">
        <v>228</v>
      </c>
      <c r="K7" s="12">
        <v>49</v>
      </c>
      <c r="L7" s="120">
        <v>15064</v>
      </c>
      <c r="M7" s="121">
        <v>29624</v>
      </c>
      <c r="N7" s="12">
        <v>0</v>
      </c>
      <c r="O7" s="121">
        <v>57680</v>
      </c>
      <c r="Q7" s="16" t="s">
        <v>228</v>
      </c>
      <c r="R7" s="12">
        <v>49</v>
      </c>
      <c r="S7" s="121">
        <v>124320</v>
      </c>
      <c r="T7" s="121">
        <v>205933</v>
      </c>
      <c r="U7" s="13">
        <v>2123</v>
      </c>
      <c r="V7" s="121">
        <v>435420</v>
      </c>
    </row>
    <row r="10" spans="2:23" ht="22.5" customHeight="1" x14ac:dyDescent="0.2">
      <c r="B10" s="44"/>
      <c r="C10" s="44"/>
      <c r="D10" s="2"/>
      <c r="E10" s="2"/>
      <c r="F10" s="2"/>
      <c r="G10" s="2"/>
      <c r="H10" s="2"/>
      <c r="K10" s="32" t="s">
        <v>4</v>
      </c>
      <c r="L10" s="1" t="s">
        <v>8</v>
      </c>
      <c r="M10" s="1" t="s">
        <v>233</v>
      </c>
      <c r="N10" s="1" t="s">
        <v>263</v>
      </c>
      <c r="O10" s="33" t="s">
        <v>268</v>
      </c>
      <c r="R10" s="32" t="s">
        <v>4</v>
      </c>
      <c r="S10" s="1" t="s">
        <v>8</v>
      </c>
      <c r="T10" s="1" t="s">
        <v>233</v>
      </c>
      <c r="U10" s="1" t="s">
        <v>263</v>
      </c>
      <c r="V10" s="1" t="s">
        <v>268</v>
      </c>
    </row>
    <row r="11" spans="2:23" ht="22.5" customHeight="1" x14ac:dyDescent="0.2">
      <c r="B11" s="32" t="s">
        <v>114</v>
      </c>
      <c r="C11" s="32" t="s">
        <v>4</v>
      </c>
      <c r="D11" s="1" t="s">
        <v>336</v>
      </c>
      <c r="E11" s="1" t="s">
        <v>140</v>
      </c>
      <c r="F11" s="1" t="s">
        <v>141</v>
      </c>
      <c r="G11" s="1" t="s">
        <v>337</v>
      </c>
      <c r="H11" s="1" t="s">
        <v>328</v>
      </c>
      <c r="J11" s="45"/>
      <c r="K11" s="27" t="s">
        <v>336</v>
      </c>
      <c r="L11" s="119" t="s">
        <v>140</v>
      </c>
      <c r="M11" s="119" t="s">
        <v>141</v>
      </c>
      <c r="N11" s="27" t="s">
        <v>337</v>
      </c>
      <c r="O11" s="119" t="s">
        <v>328</v>
      </c>
      <c r="R11" s="122" t="s">
        <v>119</v>
      </c>
      <c r="S11" s="119" t="s">
        <v>338</v>
      </c>
      <c r="T11" s="119" t="s">
        <v>339</v>
      </c>
      <c r="U11" s="119" t="s">
        <v>340</v>
      </c>
      <c r="V11" s="123" t="s">
        <v>341</v>
      </c>
      <c r="W11" s="110"/>
    </row>
    <row r="12" spans="2:23" ht="22.5" customHeight="1" x14ac:dyDescent="0.2">
      <c r="B12" s="36">
        <v>1</v>
      </c>
      <c r="C12" s="36" t="s">
        <v>342</v>
      </c>
      <c r="D12" s="12">
        <v>157</v>
      </c>
      <c r="E12" s="124">
        <v>96003.12</v>
      </c>
      <c r="F12" s="13">
        <v>152935.29999999999</v>
      </c>
      <c r="G12" s="13">
        <v>1160</v>
      </c>
      <c r="H12" s="13">
        <v>340800</v>
      </c>
      <c r="J12" s="45"/>
      <c r="K12" s="36" t="s">
        <v>342</v>
      </c>
      <c r="L12" s="125">
        <v>12816.43</v>
      </c>
      <c r="M12" s="126">
        <v>18017.650000000001</v>
      </c>
      <c r="N12" s="13">
        <v>0</v>
      </c>
      <c r="O12" s="121">
        <v>47200</v>
      </c>
      <c r="R12" s="12" t="s">
        <v>342</v>
      </c>
      <c r="S12" s="125">
        <v>108819.6</v>
      </c>
      <c r="T12" s="126">
        <v>160623.70000000001</v>
      </c>
      <c r="U12" s="126">
        <v>2244</v>
      </c>
      <c r="V12" s="121">
        <v>388200</v>
      </c>
      <c r="W12" s="110"/>
    </row>
    <row r="13" spans="2:23" ht="22.5" customHeight="1" x14ac:dyDescent="0.2">
      <c r="B13" s="36">
        <v>2</v>
      </c>
      <c r="C13" s="36" t="s">
        <v>2</v>
      </c>
      <c r="D13" s="12">
        <v>78</v>
      </c>
      <c r="E13" s="127">
        <v>103647.55</v>
      </c>
      <c r="F13" s="128">
        <v>149445.79999999999</v>
      </c>
      <c r="G13" s="128">
        <v>1250.5</v>
      </c>
      <c r="H13" s="128">
        <v>448757.7</v>
      </c>
      <c r="J13" s="45"/>
      <c r="K13" s="36" t="s">
        <v>2</v>
      </c>
      <c r="L13" s="125">
        <v>120540.55</v>
      </c>
      <c r="M13" s="126">
        <v>696592</v>
      </c>
      <c r="N13" s="12">
        <v>0</v>
      </c>
      <c r="O13" s="121">
        <v>219450</v>
      </c>
      <c r="R13" s="12" t="s">
        <v>2</v>
      </c>
      <c r="S13" s="125">
        <v>224188.1</v>
      </c>
      <c r="T13" s="126">
        <v>769040.8</v>
      </c>
      <c r="U13" s="126">
        <v>1250.5</v>
      </c>
      <c r="V13" s="121">
        <v>729990</v>
      </c>
    </row>
    <row r="15" spans="2:23" ht="12.75" x14ac:dyDescent="0.2">
      <c r="B15" s="44"/>
      <c r="C15" s="44"/>
      <c r="D15" s="2"/>
      <c r="E15" s="2"/>
      <c r="F15" s="2"/>
      <c r="G15" s="2"/>
      <c r="H15" s="2"/>
      <c r="M15" s="2"/>
      <c r="N15" s="2"/>
      <c r="O15" s="2"/>
      <c r="W15" s="2"/>
    </row>
    <row r="16" spans="2:23" ht="22.5" customHeight="1" x14ac:dyDescent="0.2">
      <c r="B16" s="45"/>
      <c r="C16" s="45"/>
      <c r="D16" s="6"/>
      <c r="E16" s="110"/>
      <c r="F16" s="110"/>
      <c r="G16" s="6"/>
      <c r="H16" s="110"/>
      <c r="K16" s="32" t="s">
        <v>0</v>
      </c>
      <c r="L16" s="33" t="s">
        <v>8</v>
      </c>
      <c r="M16" s="58" t="s">
        <v>233</v>
      </c>
      <c r="N16" s="129" t="s">
        <v>263</v>
      </c>
      <c r="O16" s="129" t="s">
        <v>268</v>
      </c>
      <c r="P16" s="58" t="s">
        <v>266</v>
      </c>
      <c r="R16" s="2"/>
      <c r="V16" s="2"/>
      <c r="W16" s="110"/>
    </row>
    <row r="17" spans="2:23" ht="22.5" customHeight="1" x14ac:dyDescent="0.2">
      <c r="B17" s="32" t="s">
        <v>265</v>
      </c>
      <c r="C17" s="32" t="s">
        <v>0</v>
      </c>
      <c r="D17" s="1" t="s">
        <v>336</v>
      </c>
      <c r="E17" s="1" t="s">
        <v>140</v>
      </c>
      <c r="F17" s="1" t="s">
        <v>141</v>
      </c>
      <c r="G17" s="1" t="s">
        <v>337</v>
      </c>
      <c r="H17" s="1" t="s">
        <v>328</v>
      </c>
      <c r="K17" s="27"/>
      <c r="L17" s="119" t="s">
        <v>140</v>
      </c>
      <c r="M17" s="119" t="s">
        <v>141</v>
      </c>
      <c r="N17" s="27" t="s">
        <v>337</v>
      </c>
      <c r="O17" s="119" t="s">
        <v>328</v>
      </c>
      <c r="P17" s="119"/>
      <c r="R17" s="32" t="s">
        <v>0</v>
      </c>
      <c r="S17" s="33" t="s">
        <v>8</v>
      </c>
      <c r="T17" s="33" t="s">
        <v>233</v>
      </c>
      <c r="U17" s="33" t="s">
        <v>263</v>
      </c>
      <c r="V17" s="129" t="s">
        <v>268</v>
      </c>
      <c r="W17" s="110"/>
    </row>
    <row r="18" spans="2:23" ht="22.5" customHeight="1" x14ac:dyDescent="0.2">
      <c r="B18" s="36">
        <v>1</v>
      </c>
      <c r="C18" s="36" t="s">
        <v>11</v>
      </c>
      <c r="D18" s="12">
        <v>28</v>
      </c>
      <c r="E18" s="130">
        <v>87268.07</v>
      </c>
      <c r="F18" s="13">
        <v>134481.89000000001</v>
      </c>
      <c r="G18" s="13">
        <v>206.75</v>
      </c>
      <c r="H18" s="13">
        <v>409270</v>
      </c>
      <c r="K18" s="12" t="s">
        <v>11</v>
      </c>
      <c r="L18" s="125">
        <v>38252.86</v>
      </c>
      <c r="M18" s="126">
        <v>92986.93</v>
      </c>
      <c r="N18" s="13">
        <v>0</v>
      </c>
      <c r="O18" s="121">
        <v>189550</v>
      </c>
      <c r="P18" s="36"/>
      <c r="R18" s="122" t="s">
        <v>119</v>
      </c>
      <c r="S18" s="119" t="s">
        <v>338</v>
      </c>
      <c r="T18" s="119" t="s">
        <v>339</v>
      </c>
      <c r="U18" s="27" t="s">
        <v>340</v>
      </c>
      <c r="V18" s="122" t="s">
        <v>341</v>
      </c>
      <c r="W18" s="110"/>
    </row>
    <row r="19" spans="2:23" ht="22.5" customHeight="1" x14ac:dyDescent="0.2">
      <c r="B19" s="36">
        <v>2</v>
      </c>
      <c r="C19" s="36" t="s">
        <v>18</v>
      </c>
      <c r="D19" s="12">
        <v>36</v>
      </c>
      <c r="E19" s="130">
        <v>104718.53</v>
      </c>
      <c r="F19" s="13">
        <v>134391.41</v>
      </c>
      <c r="G19" s="128">
        <v>7050</v>
      </c>
      <c r="H19" s="13">
        <v>280500</v>
      </c>
      <c r="K19" s="12" t="s">
        <v>18</v>
      </c>
      <c r="L19" s="125">
        <v>8260</v>
      </c>
      <c r="M19" s="126">
        <v>9198.68</v>
      </c>
      <c r="N19" s="13">
        <v>0</v>
      </c>
      <c r="O19" s="121">
        <v>25750</v>
      </c>
      <c r="P19" s="36"/>
      <c r="R19" s="12" t="s">
        <v>11</v>
      </c>
      <c r="S19" s="125">
        <v>125520.9</v>
      </c>
      <c r="T19" s="126">
        <v>206705</v>
      </c>
      <c r="U19" s="12">
        <v>276.75</v>
      </c>
      <c r="V19" s="13">
        <v>482145</v>
      </c>
      <c r="W19" s="110"/>
    </row>
    <row r="20" spans="2:23" ht="22.5" customHeight="1" x14ac:dyDescent="0.2">
      <c r="B20" s="36">
        <v>3</v>
      </c>
      <c r="C20" s="36" t="s">
        <v>23</v>
      </c>
      <c r="D20" s="12">
        <v>78</v>
      </c>
      <c r="E20" s="130">
        <v>115210.62</v>
      </c>
      <c r="F20" s="13">
        <v>180549.06</v>
      </c>
      <c r="G20" s="13">
        <v>6230</v>
      </c>
      <c r="H20" s="13">
        <v>384050</v>
      </c>
      <c r="K20" s="12" t="s">
        <v>23</v>
      </c>
      <c r="L20" s="125">
        <v>12411.67</v>
      </c>
      <c r="M20" s="126">
        <v>18494.150000000001</v>
      </c>
      <c r="N20" s="13">
        <v>0</v>
      </c>
      <c r="O20" s="121">
        <v>43750</v>
      </c>
      <c r="P20" s="36"/>
      <c r="R20" s="12" t="s">
        <v>18</v>
      </c>
      <c r="S20" s="125">
        <v>112978.5</v>
      </c>
      <c r="T20" s="126">
        <v>138776.5</v>
      </c>
      <c r="U20" s="128">
        <v>7050</v>
      </c>
      <c r="V20" s="13">
        <v>300750</v>
      </c>
      <c r="W20" s="110"/>
    </row>
    <row r="21" spans="2:23" ht="22.5" customHeight="1" x14ac:dyDescent="0.2">
      <c r="B21" s="36">
        <v>4</v>
      </c>
      <c r="C21" s="36" t="s">
        <v>28</v>
      </c>
      <c r="D21" s="12">
        <v>29</v>
      </c>
      <c r="E21" s="130">
        <v>112818.45</v>
      </c>
      <c r="F21" s="13">
        <v>182654.17</v>
      </c>
      <c r="G21" s="13">
        <v>105</v>
      </c>
      <c r="H21" s="13">
        <v>498400</v>
      </c>
      <c r="K21" s="12" t="s">
        <v>28</v>
      </c>
      <c r="L21" s="125">
        <v>25706.9</v>
      </c>
      <c r="M21" s="126">
        <v>74195.039999999994</v>
      </c>
      <c r="N21" s="13">
        <v>0</v>
      </c>
      <c r="O21" s="121">
        <v>116400</v>
      </c>
      <c r="P21" s="36"/>
      <c r="R21" s="12" t="s">
        <v>23</v>
      </c>
      <c r="S21" s="125">
        <v>127622.3</v>
      </c>
      <c r="T21" s="126">
        <v>190121.1</v>
      </c>
      <c r="U21" s="128">
        <v>7880</v>
      </c>
      <c r="V21" s="13">
        <v>425350</v>
      </c>
      <c r="W21" s="110"/>
    </row>
    <row r="22" spans="2:23" ht="22.5" customHeight="1" x14ac:dyDescent="0.2">
      <c r="B22" s="36">
        <v>5</v>
      </c>
      <c r="C22" s="36" t="s">
        <v>33</v>
      </c>
      <c r="D22" s="12">
        <v>36</v>
      </c>
      <c r="E22" s="130">
        <v>74358.42</v>
      </c>
      <c r="F22" s="13">
        <v>113383.51</v>
      </c>
      <c r="G22" s="13">
        <v>2632.5</v>
      </c>
      <c r="H22" s="13">
        <v>379275</v>
      </c>
      <c r="K22" s="12" t="s">
        <v>33</v>
      </c>
      <c r="L22" s="125">
        <v>41332.17</v>
      </c>
      <c r="M22" s="126">
        <v>171239.6</v>
      </c>
      <c r="N22" s="13">
        <v>0</v>
      </c>
      <c r="O22" s="121">
        <v>65850</v>
      </c>
      <c r="P22" s="36"/>
      <c r="R22" s="12" t="s">
        <v>28</v>
      </c>
      <c r="S22" s="125">
        <v>138525.29999999999</v>
      </c>
      <c r="T22" s="126">
        <v>222582.39999999999</v>
      </c>
      <c r="U22" s="12">
        <v>145</v>
      </c>
      <c r="V22" s="13">
        <v>671040</v>
      </c>
      <c r="W22" s="110"/>
    </row>
    <row r="23" spans="2:23" ht="22.5" customHeight="1" x14ac:dyDescent="0.2">
      <c r="B23" s="36">
        <v>6</v>
      </c>
      <c r="C23" s="36" t="s">
        <v>38</v>
      </c>
      <c r="D23" s="12">
        <v>12</v>
      </c>
      <c r="E23" s="131">
        <v>68442.5</v>
      </c>
      <c r="F23" s="128">
        <v>71766.48</v>
      </c>
      <c r="G23" s="128">
        <v>2447.25</v>
      </c>
      <c r="H23" s="128">
        <v>204111.2</v>
      </c>
      <c r="K23" s="12" t="s">
        <v>38</v>
      </c>
      <c r="L23" s="125">
        <v>35068.33</v>
      </c>
      <c r="M23" s="126">
        <v>31646.97</v>
      </c>
      <c r="N23" s="13">
        <v>2200</v>
      </c>
      <c r="O23" s="121">
        <v>90650</v>
      </c>
      <c r="P23" s="36"/>
      <c r="R23" s="12" t="s">
        <v>33</v>
      </c>
      <c r="S23" s="125">
        <v>115690.6</v>
      </c>
      <c r="T23" s="126">
        <v>256635.6</v>
      </c>
      <c r="U23" s="128">
        <v>4482.5</v>
      </c>
      <c r="V23" s="13">
        <v>430900</v>
      </c>
    </row>
    <row r="24" spans="2:23" ht="22.5" customHeight="1" x14ac:dyDescent="0.2">
      <c r="B24" s="36">
        <v>7</v>
      </c>
      <c r="C24" s="36" t="s">
        <v>42</v>
      </c>
      <c r="D24" s="12">
        <v>16</v>
      </c>
      <c r="E24" s="131">
        <v>74203.12</v>
      </c>
      <c r="F24" s="128">
        <v>122832.66</v>
      </c>
      <c r="G24" s="128">
        <v>7800</v>
      </c>
      <c r="H24" s="128">
        <v>220500</v>
      </c>
      <c r="K24" s="12" t="s">
        <v>42</v>
      </c>
      <c r="L24" s="132">
        <v>401469.69</v>
      </c>
      <c r="M24" s="132">
        <v>1514141.31</v>
      </c>
      <c r="N24" s="133">
        <v>0</v>
      </c>
      <c r="O24" s="134">
        <v>1570529</v>
      </c>
      <c r="P24" s="42" t="s">
        <v>343</v>
      </c>
      <c r="R24" s="12" t="s">
        <v>38</v>
      </c>
      <c r="S24" s="125">
        <v>103510.8</v>
      </c>
      <c r="T24" s="126">
        <v>96725.5</v>
      </c>
      <c r="U24" s="128">
        <v>4647.25</v>
      </c>
      <c r="V24" s="128">
        <v>271111.2</v>
      </c>
      <c r="W24" s="2"/>
    </row>
    <row r="25" spans="2:23" ht="22.5" customHeight="1" x14ac:dyDescent="0.2">
      <c r="B25" s="45"/>
      <c r="C25" s="45"/>
      <c r="D25" s="6"/>
      <c r="E25" s="110"/>
      <c r="F25" s="110"/>
      <c r="G25" s="110"/>
      <c r="H25" s="110"/>
      <c r="M25" s="6"/>
      <c r="N25" s="110"/>
      <c r="O25" s="110"/>
      <c r="R25" s="12" t="s">
        <v>42</v>
      </c>
      <c r="S25" s="125">
        <v>475672.8</v>
      </c>
      <c r="T25" s="126">
        <v>1632573.6</v>
      </c>
      <c r="U25" s="128">
        <v>21250</v>
      </c>
      <c r="V25" s="128">
        <v>1789753.8</v>
      </c>
      <c r="W25" s="110"/>
    </row>
    <row r="26" spans="2:23" ht="12.75" x14ac:dyDescent="0.2">
      <c r="B26" s="45"/>
      <c r="C26" s="45"/>
      <c r="D26" s="6"/>
      <c r="E26" s="110"/>
      <c r="F26" s="110"/>
      <c r="G26" s="110"/>
      <c r="H26" s="110"/>
      <c r="R26" s="110"/>
      <c r="V26" s="110"/>
      <c r="W26" s="110"/>
    </row>
    <row r="27" spans="2:23" ht="22.5" customHeight="1" x14ac:dyDescent="0.2">
      <c r="B27" s="32" t="s">
        <v>265</v>
      </c>
      <c r="C27" s="32" t="s">
        <v>326</v>
      </c>
      <c r="D27" s="1" t="s">
        <v>336</v>
      </c>
      <c r="E27" s="1" t="s">
        <v>140</v>
      </c>
      <c r="F27" s="1" t="s">
        <v>141</v>
      </c>
      <c r="G27" s="1" t="s">
        <v>337</v>
      </c>
      <c r="H27" s="1" t="s">
        <v>328</v>
      </c>
      <c r="K27" s="32" t="s">
        <v>326</v>
      </c>
      <c r="L27" s="33" t="s">
        <v>8</v>
      </c>
      <c r="M27" s="58" t="s">
        <v>233</v>
      </c>
      <c r="N27" s="129" t="s">
        <v>263</v>
      </c>
      <c r="O27" s="129" t="s">
        <v>268</v>
      </c>
      <c r="R27" s="32" t="s">
        <v>326</v>
      </c>
      <c r="S27" s="33" t="s">
        <v>8</v>
      </c>
      <c r="T27" s="33" t="s">
        <v>233</v>
      </c>
      <c r="U27" s="33" t="s">
        <v>263</v>
      </c>
      <c r="V27" s="129" t="s">
        <v>268</v>
      </c>
      <c r="W27" s="110"/>
    </row>
    <row r="28" spans="2:23" ht="22.5" customHeight="1" x14ac:dyDescent="0.2">
      <c r="B28" s="36">
        <v>1</v>
      </c>
      <c r="C28" s="36" t="s">
        <v>67</v>
      </c>
      <c r="D28" s="12">
        <v>148</v>
      </c>
      <c r="E28" s="124">
        <v>100125.13</v>
      </c>
      <c r="F28" s="13">
        <v>168675.4</v>
      </c>
      <c r="G28" s="13">
        <v>1070</v>
      </c>
      <c r="H28" s="13">
        <v>415384.8</v>
      </c>
      <c r="K28" s="27"/>
      <c r="L28" s="119" t="s">
        <v>140</v>
      </c>
      <c r="M28" s="119" t="s">
        <v>141</v>
      </c>
      <c r="N28" s="27" t="s">
        <v>337</v>
      </c>
      <c r="O28" s="119" t="s">
        <v>328</v>
      </c>
      <c r="R28" s="122" t="s">
        <v>119</v>
      </c>
      <c r="S28" s="119" t="s">
        <v>338</v>
      </c>
      <c r="T28" s="119" t="s">
        <v>339</v>
      </c>
      <c r="U28" s="119" t="s">
        <v>340</v>
      </c>
      <c r="V28" s="123" t="s">
        <v>341</v>
      </c>
      <c r="W28" s="110"/>
    </row>
    <row r="29" spans="2:23" ht="22.5" customHeight="1" x14ac:dyDescent="0.2">
      <c r="B29" s="36">
        <v>2</v>
      </c>
      <c r="C29" s="36" t="s">
        <v>68</v>
      </c>
      <c r="D29" s="12">
        <v>61</v>
      </c>
      <c r="E29" s="127">
        <v>93187.79</v>
      </c>
      <c r="F29" s="128">
        <v>116299.1</v>
      </c>
      <c r="G29" s="128">
        <v>3760</v>
      </c>
      <c r="H29" s="128">
        <v>385000</v>
      </c>
      <c r="K29" s="12" t="s">
        <v>67</v>
      </c>
      <c r="L29" s="125">
        <v>69983.75</v>
      </c>
      <c r="M29" s="126">
        <v>507051.03</v>
      </c>
      <c r="N29" s="13">
        <v>0</v>
      </c>
      <c r="O29" s="121">
        <v>96500</v>
      </c>
      <c r="R29" s="12" t="s">
        <v>67</v>
      </c>
      <c r="S29" s="125">
        <v>170108.88</v>
      </c>
      <c r="T29" s="126">
        <v>575162.24</v>
      </c>
      <c r="U29" s="126">
        <v>1282.25</v>
      </c>
      <c r="V29" s="121">
        <v>678210</v>
      </c>
    </row>
    <row r="30" spans="2:23" ht="22.5" customHeight="1" x14ac:dyDescent="0.2">
      <c r="B30" s="36">
        <v>3</v>
      </c>
      <c r="C30" s="36" t="s">
        <v>69</v>
      </c>
      <c r="D30" s="12">
        <v>15</v>
      </c>
      <c r="E30" s="127">
        <v>112930.33</v>
      </c>
      <c r="F30" s="128">
        <v>147591.5</v>
      </c>
      <c r="G30" s="128">
        <v>6331.5</v>
      </c>
      <c r="H30" s="128">
        <v>414800</v>
      </c>
      <c r="K30" s="12" t="s">
        <v>68</v>
      </c>
      <c r="L30" s="125">
        <v>15026.03</v>
      </c>
      <c r="M30" s="126">
        <v>24748.880000000001</v>
      </c>
      <c r="N30" s="12">
        <v>0</v>
      </c>
      <c r="O30" s="121">
        <v>43000</v>
      </c>
      <c r="R30" s="12" t="s">
        <v>68</v>
      </c>
      <c r="S30" s="125">
        <v>108213.82</v>
      </c>
      <c r="T30" s="126">
        <v>131183.16</v>
      </c>
      <c r="U30" s="126">
        <v>6000</v>
      </c>
      <c r="V30" s="121">
        <v>436600</v>
      </c>
    </row>
    <row r="31" spans="2:23" ht="22.5" customHeight="1" x14ac:dyDescent="0.2">
      <c r="B31" s="36">
        <v>4</v>
      </c>
      <c r="C31" s="36" t="s">
        <v>70</v>
      </c>
      <c r="D31" s="12">
        <v>11</v>
      </c>
      <c r="E31" s="127">
        <v>87279.09</v>
      </c>
      <c r="F31" s="128">
        <v>81249.8</v>
      </c>
      <c r="G31" s="128">
        <v>22000</v>
      </c>
      <c r="H31" s="128">
        <v>225000</v>
      </c>
      <c r="K31" s="12" t="s">
        <v>69</v>
      </c>
      <c r="L31" s="125">
        <v>7144</v>
      </c>
      <c r="M31" s="126">
        <v>14069.91</v>
      </c>
      <c r="N31" s="12">
        <v>0</v>
      </c>
      <c r="O31" s="121">
        <v>37500</v>
      </c>
      <c r="R31" s="12" t="s">
        <v>69</v>
      </c>
      <c r="S31" s="125">
        <v>120074.33</v>
      </c>
      <c r="T31" s="126">
        <v>149727.56</v>
      </c>
      <c r="U31" s="126">
        <v>6331.5</v>
      </c>
      <c r="V31" s="121">
        <v>415700</v>
      </c>
    </row>
    <row r="32" spans="2:23" ht="22.5" customHeight="1" x14ac:dyDescent="0.2">
      <c r="K32" s="12" t="s">
        <v>70</v>
      </c>
      <c r="L32" s="125">
        <v>3000</v>
      </c>
      <c r="M32" s="126">
        <v>6737.95</v>
      </c>
      <c r="N32" s="12">
        <v>0</v>
      </c>
      <c r="O32" s="121">
        <v>13500</v>
      </c>
      <c r="R32" s="12" t="s">
        <v>70</v>
      </c>
      <c r="S32" s="125">
        <v>90279.09</v>
      </c>
      <c r="T32" s="126">
        <v>80775.72</v>
      </c>
      <c r="U32" s="126">
        <v>23500</v>
      </c>
      <c r="V32" s="121">
        <v>225500</v>
      </c>
    </row>
  </sheetData>
  <dataValidations count="1">
    <dataValidation type="custom" allowBlank="1" showDropDown="1" sqref="L2:M7 O2:O7 E3:H7 S2:T7 V2:V7 L11:M13 O11:O13 S11:V13 L17:M24 O17:O24 S18:T25 S28:V32 L28:M32 O28:O32" xr:uid="{00000000-0002-0000-0500-000000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Q3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6" customWidth="1"/>
    <col min="5" max="5" width="12.85546875" customWidth="1"/>
    <col min="11" max="11" width="14.42578125" customWidth="1"/>
    <col min="12" max="12" width="16.42578125" customWidth="1"/>
    <col min="13" max="13" width="20.7109375" customWidth="1"/>
    <col min="14" max="15" width="15.85546875" customWidth="1"/>
    <col min="16" max="16" width="12.85546875" customWidth="1"/>
    <col min="17" max="17" width="17" customWidth="1"/>
  </cols>
  <sheetData>
    <row r="2" spans="1:17" ht="12.75" x14ac:dyDescent="0.2">
      <c r="A2" s="135" t="s">
        <v>344</v>
      </c>
      <c r="B2" s="31"/>
      <c r="C2" s="31"/>
      <c r="D2" s="108"/>
      <c r="E2" s="108"/>
      <c r="F2" s="108"/>
      <c r="G2" s="108"/>
      <c r="H2" s="108"/>
      <c r="L2" s="135" t="s">
        <v>345</v>
      </c>
    </row>
    <row r="4" spans="1:17" ht="22.5" customHeight="1" x14ac:dyDescent="0.2">
      <c r="K4" s="1" t="s">
        <v>326</v>
      </c>
      <c r="L4" s="1" t="s">
        <v>346</v>
      </c>
      <c r="M4" s="1" t="s">
        <v>347</v>
      </c>
      <c r="N4" s="1" t="s">
        <v>348</v>
      </c>
      <c r="O4" s="1" t="s">
        <v>349</v>
      </c>
      <c r="P4" s="1" t="s">
        <v>350</v>
      </c>
      <c r="Q4" s="1" t="s">
        <v>351</v>
      </c>
    </row>
    <row r="5" spans="1:17" ht="22.5" customHeight="1" x14ac:dyDescent="0.2">
      <c r="B5" s="32" t="s">
        <v>352</v>
      </c>
      <c r="C5" s="32" t="s">
        <v>115</v>
      </c>
      <c r="D5" s="1" t="s">
        <v>198</v>
      </c>
      <c r="E5" s="136" t="s">
        <v>140</v>
      </c>
      <c r="F5" s="136" t="s">
        <v>141</v>
      </c>
      <c r="G5" s="1" t="s">
        <v>327</v>
      </c>
      <c r="H5" s="136" t="s">
        <v>328</v>
      </c>
      <c r="K5" s="12">
        <v>1</v>
      </c>
      <c r="L5" s="13">
        <v>1433</v>
      </c>
      <c r="M5" s="137">
        <v>93589</v>
      </c>
      <c r="N5" s="121">
        <v>1613501</v>
      </c>
      <c r="O5" s="121">
        <v>10000</v>
      </c>
      <c r="P5" s="12">
        <v>60</v>
      </c>
      <c r="Q5" s="121">
        <v>170800</v>
      </c>
    </row>
    <row r="6" spans="1:17" ht="22.5" customHeight="1" x14ac:dyDescent="0.2">
      <c r="B6" s="36" t="s">
        <v>212</v>
      </c>
      <c r="C6" s="36">
        <v>1</v>
      </c>
      <c r="D6" s="121">
        <v>527</v>
      </c>
      <c r="E6" s="120">
        <v>40012</v>
      </c>
      <c r="F6" s="121">
        <v>267261</v>
      </c>
      <c r="G6" s="12">
        <v>0</v>
      </c>
      <c r="H6" s="121">
        <v>111942</v>
      </c>
      <c r="K6" s="12">
        <v>2</v>
      </c>
      <c r="L6" s="13">
        <v>1015</v>
      </c>
      <c r="M6" s="137">
        <v>36977</v>
      </c>
      <c r="N6" s="121">
        <v>79383</v>
      </c>
      <c r="O6" s="121">
        <v>13240</v>
      </c>
      <c r="P6" s="12">
        <v>0</v>
      </c>
      <c r="Q6" s="121">
        <v>134844</v>
      </c>
    </row>
    <row r="7" spans="1:17" ht="22.5" customHeight="1" x14ac:dyDescent="0.2">
      <c r="B7" s="36" t="s">
        <v>216</v>
      </c>
      <c r="C7" s="36">
        <v>2</v>
      </c>
      <c r="D7" s="121">
        <v>565</v>
      </c>
      <c r="E7" s="120">
        <v>55524</v>
      </c>
      <c r="F7" s="121">
        <v>320228</v>
      </c>
      <c r="G7" s="12">
        <v>0</v>
      </c>
      <c r="H7" s="121">
        <v>162598</v>
      </c>
      <c r="K7" s="12">
        <v>3</v>
      </c>
      <c r="L7" s="12">
        <v>614</v>
      </c>
      <c r="M7" s="137">
        <v>24509</v>
      </c>
      <c r="N7" s="121">
        <v>53137</v>
      </c>
      <c r="O7" s="121">
        <v>6850</v>
      </c>
      <c r="P7" s="12">
        <v>0</v>
      </c>
      <c r="Q7" s="121">
        <v>100000</v>
      </c>
    </row>
    <row r="8" spans="1:17" ht="22.5" customHeight="1" x14ac:dyDescent="0.2">
      <c r="B8" s="36" t="s">
        <v>220</v>
      </c>
      <c r="C8" s="36">
        <v>3</v>
      </c>
      <c r="D8" s="121">
        <v>557</v>
      </c>
      <c r="E8" s="120">
        <v>37969</v>
      </c>
      <c r="F8" s="121">
        <v>93124</v>
      </c>
      <c r="G8" s="12">
        <v>0</v>
      </c>
      <c r="H8" s="121">
        <v>137044</v>
      </c>
      <c r="K8" s="12">
        <v>4</v>
      </c>
      <c r="L8" s="12">
        <v>345</v>
      </c>
      <c r="M8" s="137">
        <v>24036</v>
      </c>
      <c r="N8" s="121">
        <v>41810</v>
      </c>
      <c r="O8" s="121">
        <v>11000</v>
      </c>
      <c r="P8" s="12">
        <v>0</v>
      </c>
      <c r="Q8" s="121">
        <v>83740</v>
      </c>
    </row>
    <row r="9" spans="1:17" ht="22.5" customHeight="1" x14ac:dyDescent="0.2">
      <c r="B9" s="36" t="s">
        <v>224</v>
      </c>
      <c r="C9" s="36">
        <v>4</v>
      </c>
      <c r="D9" s="121">
        <v>581</v>
      </c>
      <c r="E9" s="120">
        <v>40633</v>
      </c>
      <c r="F9" s="121">
        <v>103308</v>
      </c>
      <c r="G9" s="12">
        <v>0</v>
      </c>
      <c r="H9" s="121">
        <v>142200</v>
      </c>
    </row>
    <row r="10" spans="1:17" ht="22.5" customHeight="1" x14ac:dyDescent="0.2">
      <c r="B10" s="36" t="s">
        <v>228</v>
      </c>
      <c r="C10" s="36">
        <v>5</v>
      </c>
      <c r="D10" s="121">
        <v>605</v>
      </c>
      <c r="E10" s="120">
        <v>51943</v>
      </c>
      <c r="F10" s="121">
        <v>118871</v>
      </c>
      <c r="G10" s="12">
        <v>0</v>
      </c>
      <c r="H10" s="121">
        <v>189934</v>
      </c>
    </row>
    <row r="12" spans="1:17" ht="22.5" customHeight="1" x14ac:dyDescent="0.2">
      <c r="B12" s="33" t="s">
        <v>353</v>
      </c>
      <c r="C12" s="33" t="s">
        <v>8</v>
      </c>
      <c r="D12" s="33" t="s">
        <v>198</v>
      </c>
      <c r="E12" s="33" t="s">
        <v>140</v>
      </c>
      <c r="F12" s="33" t="s">
        <v>141</v>
      </c>
      <c r="G12" s="33" t="s">
        <v>354</v>
      </c>
      <c r="H12" s="33" t="s">
        <v>328</v>
      </c>
    </row>
    <row r="13" spans="1:17" ht="22.5" customHeight="1" x14ac:dyDescent="0.2">
      <c r="B13" s="36" t="s">
        <v>11</v>
      </c>
      <c r="C13" s="36">
        <v>1</v>
      </c>
      <c r="D13" s="121">
        <v>403</v>
      </c>
      <c r="E13" s="120">
        <v>28529</v>
      </c>
      <c r="F13" s="121">
        <v>81983</v>
      </c>
      <c r="G13" s="12">
        <v>0</v>
      </c>
      <c r="H13" s="121">
        <v>103560</v>
      </c>
    </row>
    <row r="14" spans="1:17" ht="22.5" customHeight="1" x14ac:dyDescent="0.2">
      <c r="B14" s="36" t="s">
        <v>18</v>
      </c>
      <c r="C14" s="36">
        <v>2</v>
      </c>
      <c r="D14" s="121">
        <v>370</v>
      </c>
      <c r="E14" s="120">
        <v>60510</v>
      </c>
      <c r="F14" s="121">
        <v>317779</v>
      </c>
      <c r="G14" s="12">
        <v>100</v>
      </c>
      <c r="H14" s="121">
        <v>172444</v>
      </c>
    </row>
    <row r="15" spans="1:17" ht="22.5" customHeight="1" x14ac:dyDescent="0.2">
      <c r="B15" s="36" t="s">
        <v>23</v>
      </c>
      <c r="C15" s="36">
        <v>3</v>
      </c>
      <c r="D15" s="121">
        <v>933</v>
      </c>
      <c r="E15" s="120">
        <v>38501</v>
      </c>
      <c r="F15" s="121">
        <v>100822</v>
      </c>
      <c r="G15" s="12">
        <v>0</v>
      </c>
      <c r="H15" s="121">
        <v>142988</v>
      </c>
    </row>
    <row r="16" spans="1:17" ht="22.5" customHeight="1" x14ac:dyDescent="0.2">
      <c r="B16" s="36" t="s">
        <v>28</v>
      </c>
      <c r="C16" s="36">
        <v>4</v>
      </c>
      <c r="D16" s="121">
        <v>279</v>
      </c>
      <c r="E16" s="120">
        <v>43221</v>
      </c>
      <c r="F16" s="121">
        <v>105391</v>
      </c>
      <c r="G16" s="12">
        <v>29</v>
      </c>
      <c r="H16" s="121">
        <v>141256</v>
      </c>
    </row>
    <row r="17" spans="2:8" ht="22.5" customHeight="1" x14ac:dyDescent="0.2">
      <c r="B17" s="36" t="s">
        <v>33</v>
      </c>
      <c r="C17" s="36">
        <v>5</v>
      </c>
      <c r="D17" s="121">
        <v>392</v>
      </c>
      <c r="E17" s="120">
        <v>74837</v>
      </c>
      <c r="F17" s="121">
        <v>208814</v>
      </c>
      <c r="G17" s="12">
        <v>371</v>
      </c>
      <c r="H17" s="121">
        <v>276793</v>
      </c>
    </row>
    <row r="18" spans="2:8" ht="22.5" customHeight="1" x14ac:dyDescent="0.2">
      <c r="B18" s="36" t="s">
        <v>38</v>
      </c>
      <c r="C18" s="36">
        <v>6</v>
      </c>
      <c r="D18" s="121">
        <v>195</v>
      </c>
      <c r="E18" s="120">
        <v>27035</v>
      </c>
      <c r="F18" s="121">
        <v>55397</v>
      </c>
      <c r="G18" s="12">
        <v>0</v>
      </c>
      <c r="H18" s="121">
        <v>113095</v>
      </c>
    </row>
    <row r="19" spans="2:8" ht="22.5" customHeight="1" x14ac:dyDescent="0.2">
      <c r="B19" s="36" t="s">
        <v>42</v>
      </c>
      <c r="C19" s="36">
        <v>7</v>
      </c>
      <c r="D19" s="121">
        <v>263</v>
      </c>
      <c r="E19" s="120">
        <v>46255</v>
      </c>
      <c r="F19" s="121">
        <v>411085</v>
      </c>
      <c r="G19" s="12">
        <v>0</v>
      </c>
      <c r="H19" s="121">
        <v>92090</v>
      </c>
    </row>
    <row r="23" spans="2:8" ht="22.5" customHeight="1" x14ac:dyDescent="0.2">
      <c r="B23" s="33" t="s">
        <v>326</v>
      </c>
      <c r="C23" s="33" t="s">
        <v>355</v>
      </c>
      <c r="D23" s="33" t="s">
        <v>356</v>
      </c>
      <c r="E23" s="33" t="s">
        <v>357</v>
      </c>
      <c r="F23" s="33" t="s">
        <v>141</v>
      </c>
      <c r="G23" s="33" t="s">
        <v>354</v>
      </c>
      <c r="H23" s="33" t="s">
        <v>358</v>
      </c>
    </row>
    <row r="24" spans="2:8" ht="22.5" customHeight="1" x14ac:dyDescent="0.2">
      <c r="B24" s="138" t="s">
        <v>67</v>
      </c>
      <c r="C24" s="138">
        <v>1</v>
      </c>
      <c r="D24" s="139">
        <v>1127</v>
      </c>
      <c r="E24" s="137">
        <v>64942</v>
      </c>
      <c r="F24" s="121">
        <v>307306</v>
      </c>
      <c r="G24" s="12">
        <v>0</v>
      </c>
      <c r="H24" s="121">
        <v>221440</v>
      </c>
    </row>
    <row r="25" spans="2:8" ht="22.5" customHeight="1" x14ac:dyDescent="0.2">
      <c r="B25" s="138" t="s">
        <v>68</v>
      </c>
      <c r="C25" s="138">
        <v>2</v>
      </c>
      <c r="D25" s="140">
        <v>998</v>
      </c>
      <c r="E25" s="137">
        <v>36810</v>
      </c>
      <c r="F25" s="121">
        <v>78349</v>
      </c>
      <c r="G25" s="12">
        <v>0</v>
      </c>
      <c r="H25" s="121">
        <v>130434</v>
      </c>
    </row>
    <row r="26" spans="2:8" ht="22.5" customHeight="1" x14ac:dyDescent="0.2">
      <c r="B26" s="138" t="s">
        <v>69</v>
      </c>
      <c r="C26" s="138">
        <v>3</v>
      </c>
      <c r="D26" s="140">
        <v>367</v>
      </c>
      <c r="E26" s="137">
        <v>27959</v>
      </c>
      <c r="F26" s="121">
        <v>57872</v>
      </c>
      <c r="G26" s="12">
        <v>0</v>
      </c>
      <c r="H26" s="121">
        <v>112080</v>
      </c>
    </row>
    <row r="27" spans="2:8" ht="22.5" customHeight="1" x14ac:dyDescent="0.2">
      <c r="B27" s="138" t="s">
        <v>70</v>
      </c>
      <c r="C27" s="138">
        <v>4</v>
      </c>
      <c r="D27" s="140">
        <v>343</v>
      </c>
      <c r="E27" s="137">
        <v>24641</v>
      </c>
      <c r="F27" s="121">
        <v>43646</v>
      </c>
      <c r="G27" s="12">
        <v>0</v>
      </c>
      <c r="H27" s="121">
        <v>84290</v>
      </c>
    </row>
    <row r="32" spans="2:8" ht="22.5" customHeight="1" x14ac:dyDescent="0.2">
      <c r="B32" s="33" t="s">
        <v>359</v>
      </c>
      <c r="C32" s="33" t="s">
        <v>355</v>
      </c>
      <c r="D32" s="33" t="s">
        <v>198</v>
      </c>
      <c r="E32" s="33" t="s">
        <v>357</v>
      </c>
      <c r="F32" s="33" t="s">
        <v>141</v>
      </c>
      <c r="G32" s="33" t="s">
        <v>327</v>
      </c>
      <c r="H32" s="33" t="s">
        <v>328</v>
      </c>
    </row>
    <row r="33" spans="2:8" ht="22.5" customHeight="1" x14ac:dyDescent="0.2">
      <c r="B33" s="16" t="s">
        <v>1</v>
      </c>
      <c r="C33" s="36">
        <v>1</v>
      </c>
      <c r="D33" s="13">
        <v>2013</v>
      </c>
      <c r="E33" s="120">
        <v>40446</v>
      </c>
      <c r="F33" s="121">
        <v>158893</v>
      </c>
      <c r="G33" s="12">
        <v>0</v>
      </c>
      <c r="H33" s="121">
        <v>140700</v>
      </c>
    </row>
    <row r="34" spans="2:8" ht="22.5" customHeight="1" x14ac:dyDescent="0.2">
      <c r="B34" s="16" t="s">
        <v>2</v>
      </c>
      <c r="C34" s="36">
        <v>2</v>
      </c>
      <c r="D34" s="12">
        <v>822</v>
      </c>
      <c r="E34" s="120">
        <v>57445</v>
      </c>
      <c r="F34" s="121">
        <v>279488</v>
      </c>
      <c r="G34" s="12">
        <v>0</v>
      </c>
      <c r="H34" s="121">
        <v>186952</v>
      </c>
    </row>
  </sheetData>
  <dataValidations count="1">
    <dataValidation type="custom" allowBlank="1" showDropDown="1" sqref="M5:O8 Q5:Q8 D6:F10 H6:H10 D13:F19 H13:H19 E24:F27 H24:H27 E33:F34 H33:H34" xr:uid="{00000000-0002-0000-0600-000000000000}">
      <formula1>AND(ISNUMBER(D5),(NOT(OR(NOT(ISERROR(DATEVALUE(D5))), AND(ISNUMBER(D5), LEFT(CELL("format", D5))="D")))))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workbookViewId="0">
      <selection activeCell="G2" sqref="G2"/>
    </sheetView>
  </sheetViews>
  <sheetFormatPr defaultColWidth="12.5703125" defaultRowHeight="15.75" customHeight="1" x14ac:dyDescent="0.2"/>
  <cols>
    <col min="1" max="1" width="5.42578125" style="144" customWidth="1"/>
    <col min="2" max="2" width="13.5703125" style="144" customWidth="1"/>
    <col min="3" max="3" width="21" style="144" customWidth="1"/>
    <col min="4" max="4" width="17.7109375" style="144" customWidth="1"/>
    <col min="5" max="5" width="40.42578125" style="144" customWidth="1"/>
    <col min="6" max="6" width="47.140625" style="144" customWidth="1"/>
    <col min="7" max="7" width="31.85546875" style="144" customWidth="1"/>
    <col min="8" max="8" width="44.85546875" style="144" customWidth="1"/>
    <col min="9" max="9" width="49.140625" style="144" customWidth="1"/>
    <col min="10" max="10" width="51.42578125" style="144" customWidth="1"/>
    <col min="11" max="16384" width="12.5703125" style="144"/>
  </cols>
  <sheetData>
    <row r="1" spans="1:28" ht="21.75" customHeight="1" x14ac:dyDescent="0.2">
      <c r="A1" s="141" t="s">
        <v>360</v>
      </c>
      <c r="B1" s="141" t="s">
        <v>361</v>
      </c>
      <c r="C1" s="141" t="s">
        <v>362</v>
      </c>
      <c r="D1" s="141" t="s">
        <v>363</v>
      </c>
      <c r="E1" s="141" t="s">
        <v>364</v>
      </c>
      <c r="F1" s="141" t="s">
        <v>365</v>
      </c>
      <c r="G1" s="141" t="s">
        <v>366</v>
      </c>
      <c r="H1" s="142"/>
      <c r="I1" s="142"/>
      <c r="J1" s="142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 spans="1:28" ht="165.75" x14ac:dyDescent="0.2">
      <c r="A2" s="145">
        <v>1</v>
      </c>
      <c r="B2" s="145" t="s">
        <v>367</v>
      </c>
      <c r="C2" s="145" t="s">
        <v>368</v>
      </c>
      <c r="D2" s="145" t="s">
        <v>369</v>
      </c>
      <c r="E2" s="145" t="s">
        <v>370</v>
      </c>
      <c r="F2" s="145" t="s">
        <v>371</v>
      </c>
      <c r="G2" s="145" t="s">
        <v>372</v>
      </c>
      <c r="H2" s="146"/>
      <c r="I2" s="146"/>
      <c r="J2" s="146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3" spans="1:28" ht="38.25" x14ac:dyDescent="0.2">
      <c r="A3" s="145"/>
      <c r="B3" s="145" t="s">
        <v>373</v>
      </c>
      <c r="C3" s="145"/>
      <c r="D3" s="147" t="s">
        <v>374</v>
      </c>
      <c r="E3" s="145" t="s">
        <v>375</v>
      </c>
      <c r="F3" s="145"/>
      <c r="G3" s="145"/>
      <c r="H3" s="146"/>
      <c r="I3" s="146"/>
      <c r="J3" s="146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 spans="1:28" ht="51" x14ac:dyDescent="0.2">
      <c r="A4" s="145"/>
      <c r="B4" s="145"/>
      <c r="C4" s="145"/>
      <c r="D4" s="145"/>
      <c r="E4" s="145" t="s">
        <v>376</v>
      </c>
      <c r="F4" s="145"/>
      <c r="G4" s="145"/>
      <c r="H4" s="146"/>
      <c r="I4" s="146"/>
      <c r="J4" s="146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</row>
    <row r="5" spans="1:28" ht="102" x14ac:dyDescent="0.2">
      <c r="A5" s="148">
        <v>2</v>
      </c>
      <c r="B5" s="148" t="s">
        <v>377</v>
      </c>
      <c r="C5" s="148" t="s">
        <v>378</v>
      </c>
      <c r="D5" s="148" t="s">
        <v>379</v>
      </c>
      <c r="E5" s="148" t="s">
        <v>380</v>
      </c>
      <c r="F5" s="149" t="s">
        <v>381</v>
      </c>
      <c r="G5" s="149" t="s">
        <v>382</v>
      </c>
      <c r="H5" s="146"/>
      <c r="I5" s="146"/>
      <c r="J5" s="146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</row>
    <row r="6" spans="1:28" ht="38.25" x14ac:dyDescent="0.2">
      <c r="A6" s="148"/>
      <c r="B6" s="148"/>
      <c r="C6" s="148"/>
      <c r="D6" s="148" t="s">
        <v>383</v>
      </c>
      <c r="E6" s="148"/>
      <c r="F6" s="149" t="s">
        <v>384</v>
      </c>
      <c r="G6" s="148" t="s">
        <v>385</v>
      </c>
      <c r="H6" s="146"/>
      <c r="I6" s="146"/>
      <c r="J6" s="146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 spans="1:28" ht="38.25" x14ac:dyDescent="0.2">
      <c r="A7" s="148"/>
      <c r="B7" s="148"/>
      <c r="C7" s="148"/>
      <c r="D7" s="148" t="s">
        <v>386</v>
      </c>
      <c r="E7" s="148" t="s">
        <v>387</v>
      </c>
      <c r="F7" s="148" t="s">
        <v>388</v>
      </c>
      <c r="G7" s="148" t="s">
        <v>389</v>
      </c>
      <c r="H7" s="146"/>
      <c r="I7" s="146"/>
      <c r="J7" s="146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</row>
    <row r="8" spans="1:28" ht="25.5" x14ac:dyDescent="0.2">
      <c r="A8" s="148"/>
      <c r="B8" s="148"/>
      <c r="C8" s="148"/>
      <c r="D8" s="148" t="s">
        <v>390</v>
      </c>
      <c r="E8" s="148"/>
      <c r="F8" s="148" t="s">
        <v>391</v>
      </c>
      <c r="G8" s="148" t="s">
        <v>392</v>
      </c>
      <c r="H8" s="146"/>
      <c r="I8" s="146"/>
      <c r="J8" s="146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</row>
    <row r="9" spans="1:28" ht="25.5" x14ac:dyDescent="0.2">
      <c r="A9" s="148"/>
      <c r="B9" s="148"/>
      <c r="C9" s="148"/>
      <c r="D9" s="148"/>
      <c r="E9" s="148" t="s">
        <v>393</v>
      </c>
      <c r="F9" s="148" t="s">
        <v>394</v>
      </c>
      <c r="G9" s="148" t="s">
        <v>395</v>
      </c>
      <c r="H9" s="146"/>
      <c r="I9" s="146"/>
      <c r="J9" s="146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 spans="1:28" ht="25.5" x14ac:dyDescent="0.2">
      <c r="A10" s="148"/>
      <c r="B10" s="148"/>
      <c r="C10" s="148"/>
      <c r="D10" s="148"/>
      <c r="E10" s="148"/>
      <c r="F10" s="148" t="s">
        <v>396</v>
      </c>
      <c r="G10" s="148" t="s">
        <v>397</v>
      </c>
      <c r="H10" s="146"/>
      <c r="I10" s="146"/>
      <c r="J10" s="146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</row>
    <row r="11" spans="1:28" ht="25.5" x14ac:dyDescent="0.2">
      <c r="A11" s="148"/>
      <c r="B11" s="148"/>
      <c r="C11" s="148"/>
      <c r="D11" s="148"/>
      <c r="E11" s="148" t="s">
        <v>398</v>
      </c>
      <c r="F11" s="148" t="s">
        <v>399</v>
      </c>
      <c r="G11" s="148"/>
      <c r="H11" s="146"/>
      <c r="I11" s="146"/>
      <c r="J11" s="146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</row>
    <row r="12" spans="1:28" ht="25.5" x14ac:dyDescent="0.2">
      <c r="A12" s="148"/>
      <c r="B12" s="148"/>
      <c r="C12" s="148"/>
      <c r="D12" s="148"/>
      <c r="E12" s="148"/>
      <c r="F12" s="148" t="s">
        <v>400</v>
      </c>
      <c r="G12" s="148"/>
      <c r="H12" s="146"/>
      <c r="I12" s="146"/>
      <c r="J12" s="146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</row>
    <row r="13" spans="1:28" ht="25.5" x14ac:dyDescent="0.2">
      <c r="A13" s="148"/>
      <c r="B13" s="148"/>
      <c r="C13" s="148"/>
      <c r="D13" s="148"/>
      <c r="E13" s="148"/>
      <c r="F13" s="148" t="s">
        <v>401</v>
      </c>
      <c r="G13" s="148"/>
      <c r="H13" s="146"/>
      <c r="I13" s="146"/>
      <c r="J13" s="146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</row>
    <row r="14" spans="1:28" ht="25.5" x14ac:dyDescent="0.2">
      <c r="A14" s="148"/>
      <c r="B14" s="148"/>
      <c r="C14" s="148"/>
      <c r="D14" s="148"/>
      <c r="E14" s="148"/>
      <c r="F14" s="148" t="s">
        <v>402</v>
      </c>
      <c r="G14" s="148"/>
      <c r="H14" s="146"/>
      <c r="I14" s="146"/>
      <c r="J14" s="146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</row>
    <row r="15" spans="1:28" ht="63.75" x14ac:dyDescent="0.2">
      <c r="A15" s="150">
        <v>3</v>
      </c>
      <c r="B15" s="150" t="s">
        <v>403</v>
      </c>
      <c r="C15" s="150" t="s">
        <v>404</v>
      </c>
      <c r="D15" s="150" t="s">
        <v>405</v>
      </c>
      <c r="E15" s="150" t="s">
        <v>406</v>
      </c>
      <c r="F15" s="150" t="s">
        <v>407</v>
      </c>
      <c r="G15" s="150" t="s">
        <v>408</v>
      </c>
      <c r="H15" s="146"/>
      <c r="I15" s="146"/>
      <c r="J15" s="146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</row>
    <row r="16" spans="1:28" ht="25.5" x14ac:dyDescent="0.2">
      <c r="A16" s="150"/>
      <c r="B16" s="150"/>
      <c r="C16" s="150"/>
      <c r="D16" s="150" t="s">
        <v>409</v>
      </c>
      <c r="E16" s="150" t="s">
        <v>410</v>
      </c>
      <c r="F16" s="150"/>
      <c r="G16" s="150" t="s">
        <v>411</v>
      </c>
      <c r="H16" s="146"/>
      <c r="I16" s="146"/>
      <c r="J16" s="146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</row>
    <row r="17" spans="1:28" ht="38.25" x14ac:dyDescent="0.2">
      <c r="A17" s="150"/>
      <c r="B17" s="150"/>
      <c r="C17" s="150"/>
      <c r="D17" s="150" t="s">
        <v>412</v>
      </c>
      <c r="E17" s="150" t="s">
        <v>413</v>
      </c>
      <c r="F17" s="150"/>
      <c r="G17" s="150" t="s">
        <v>414</v>
      </c>
      <c r="H17" s="146"/>
      <c r="I17" s="146"/>
      <c r="J17" s="146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</row>
    <row r="18" spans="1:28" ht="25.5" x14ac:dyDescent="0.2">
      <c r="A18" s="150"/>
      <c r="B18" s="150"/>
      <c r="C18" s="150"/>
      <c r="D18" s="150" t="s">
        <v>415</v>
      </c>
      <c r="E18" s="150"/>
      <c r="F18" s="150"/>
      <c r="G18" s="150" t="s">
        <v>416</v>
      </c>
      <c r="H18" s="146"/>
      <c r="I18" s="146"/>
      <c r="J18" s="146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</row>
    <row r="19" spans="1:28" ht="25.5" x14ac:dyDescent="0.2">
      <c r="A19" s="150"/>
      <c r="B19" s="150"/>
      <c r="C19" s="150"/>
      <c r="D19" s="150"/>
      <c r="E19" s="150"/>
      <c r="F19" s="150"/>
      <c r="G19" s="150" t="s">
        <v>417</v>
      </c>
      <c r="H19" s="146"/>
      <c r="I19" s="146"/>
      <c r="J19" s="146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</row>
    <row r="20" spans="1:28" ht="76.5" x14ac:dyDescent="0.2">
      <c r="A20" s="151">
        <v>4</v>
      </c>
      <c r="B20" s="151" t="s">
        <v>418</v>
      </c>
      <c r="C20" s="151" t="s">
        <v>419</v>
      </c>
      <c r="D20" s="151" t="s">
        <v>420</v>
      </c>
      <c r="E20" s="151" t="s">
        <v>421</v>
      </c>
      <c r="F20" s="151" t="s">
        <v>422</v>
      </c>
      <c r="G20" s="151" t="s">
        <v>423</v>
      </c>
      <c r="H20" s="146"/>
      <c r="I20" s="146"/>
      <c r="J20" s="146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</row>
    <row r="21" spans="1:28" ht="38.25" x14ac:dyDescent="0.2">
      <c r="A21" s="151"/>
      <c r="B21" s="151"/>
      <c r="C21" s="151"/>
      <c r="D21" s="151" t="s">
        <v>424</v>
      </c>
      <c r="E21" s="151"/>
      <c r="F21" s="151" t="s">
        <v>425</v>
      </c>
      <c r="G21" s="151" t="s">
        <v>426</v>
      </c>
      <c r="H21" s="146"/>
      <c r="I21" s="146"/>
      <c r="J21" s="146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</row>
    <row r="22" spans="1:28" ht="25.5" x14ac:dyDescent="0.2">
      <c r="A22" s="151"/>
      <c r="B22" s="151"/>
      <c r="C22" s="151"/>
      <c r="D22" s="151" t="s">
        <v>427</v>
      </c>
      <c r="E22" s="151" t="s">
        <v>428</v>
      </c>
      <c r="F22" s="151" t="s">
        <v>429</v>
      </c>
      <c r="G22" s="151" t="s">
        <v>430</v>
      </c>
      <c r="H22" s="146"/>
      <c r="I22" s="146"/>
      <c r="J22" s="146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</row>
    <row r="23" spans="1:28" ht="25.5" x14ac:dyDescent="0.2">
      <c r="A23" s="151"/>
      <c r="B23" s="151"/>
      <c r="C23" s="151"/>
      <c r="D23" s="151" t="s">
        <v>431</v>
      </c>
      <c r="E23" s="151" t="s">
        <v>432</v>
      </c>
      <c r="F23" s="151" t="s">
        <v>433</v>
      </c>
      <c r="G23" s="151" t="s">
        <v>434</v>
      </c>
      <c r="H23" s="146"/>
      <c r="I23" s="146"/>
      <c r="J23" s="146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</row>
    <row r="24" spans="1:28" ht="38.25" x14ac:dyDescent="0.2">
      <c r="A24" s="151"/>
      <c r="B24" s="151"/>
      <c r="C24" s="151"/>
      <c r="D24" s="151" t="s">
        <v>435</v>
      </c>
      <c r="E24" s="151" t="s">
        <v>436</v>
      </c>
      <c r="F24" s="151" t="s">
        <v>437</v>
      </c>
      <c r="G24" s="151" t="s">
        <v>438</v>
      </c>
      <c r="H24" s="146"/>
      <c r="I24" s="146"/>
      <c r="J24" s="146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</row>
    <row r="25" spans="1:28" ht="25.5" x14ac:dyDescent="0.2">
      <c r="A25" s="151"/>
      <c r="B25" s="151"/>
      <c r="C25" s="151"/>
      <c r="D25" s="151" t="s">
        <v>439</v>
      </c>
      <c r="E25" s="151" t="s">
        <v>440</v>
      </c>
      <c r="F25" s="151"/>
      <c r="G25" s="151"/>
      <c r="H25" s="146"/>
      <c r="I25" s="146"/>
      <c r="J25" s="146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</row>
    <row r="26" spans="1:28" ht="25.5" x14ac:dyDescent="0.2">
      <c r="A26" s="151"/>
      <c r="B26" s="151"/>
      <c r="C26" s="151"/>
      <c r="D26" s="151" t="s">
        <v>441</v>
      </c>
      <c r="E26" s="151"/>
      <c r="F26" s="151"/>
      <c r="G26" s="151"/>
      <c r="H26" s="146"/>
      <c r="I26" s="146"/>
      <c r="J26" s="146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</row>
    <row r="27" spans="1:28" ht="25.5" x14ac:dyDescent="0.2">
      <c r="A27" s="151"/>
      <c r="B27" s="151"/>
      <c r="C27" s="151"/>
      <c r="D27" s="151" t="s">
        <v>442</v>
      </c>
      <c r="E27" s="151"/>
      <c r="F27" s="151"/>
      <c r="G27" s="151"/>
      <c r="H27" s="146"/>
      <c r="I27" s="146"/>
      <c r="J27" s="146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</row>
    <row r="28" spans="1:28" ht="63.75" x14ac:dyDescent="0.2">
      <c r="A28" s="152">
        <v>5</v>
      </c>
      <c r="B28" s="152" t="s">
        <v>443</v>
      </c>
      <c r="C28" s="152" t="s">
        <v>444</v>
      </c>
      <c r="D28" s="152" t="s">
        <v>445</v>
      </c>
      <c r="E28" s="152" t="s">
        <v>446</v>
      </c>
      <c r="F28" s="152" t="s">
        <v>447</v>
      </c>
      <c r="G28" s="152" t="s">
        <v>448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 spans="1:28" ht="25.5" x14ac:dyDescent="0.2">
      <c r="A29" s="152"/>
      <c r="B29" s="152"/>
      <c r="C29" s="152"/>
      <c r="D29" s="152" t="s">
        <v>449</v>
      </c>
      <c r="E29" s="152" t="s">
        <v>450</v>
      </c>
      <c r="F29" s="152" t="s">
        <v>451</v>
      </c>
      <c r="G29" s="152" t="s">
        <v>452</v>
      </c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 spans="1:28" ht="51" x14ac:dyDescent="0.2">
      <c r="A30" s="152"/>
      <c r="B30" s="152"/>
      <c r="C30" s="152"/>
      <c r="D30" s="152" t="s">
        <v>453</v>
      </c>
      <c r="E30" s="152" t="s">
        <v>454</v>
      </c>
      <c r="F30" s="152" t="s">
        <v>429</v>
      </c>
      <c r="G30" s="152" t="s">
        <v>455</v>
      </c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 spans="1:28" ht="25.5" x14ac:dyDescent="0.2">
      <c r="A31" s="152"/>
      <c r="B31" s="152"/>
      <c r="C31" s="152"/>
      <c r="D31" s="152" t="s">
        <v>456</v>
      </c>
      <c r="E31" s="152" t="s">
        <v>457</v>
      </c>
      <c r="F31" s="152" t="s">
        <v>433</v>
      </c>
      <c r="G31" s="152" t="s">
        <v>458</v>
      </c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 spans="1:28" ht="12.75" x14ac:dyDescent="0.2">
      <c r="A32" s="152"/>
      <c r="B32" s="152"/>
      <c r="C32" s="152"/>
      <c r="D32" s="152"/>
      <c r="E32" s="152"/>
      <c r="F32" s="152" t="s">
        <v>459</v>
      </c>
      <c r="G32" s="152" t="s">
        <v>448</v>
      </c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 spans="1:28" ht="12.75" x14ac:dyDescent="0.2">
      <c r="A33" s="152"/>
      <c r="B33" s="152"/>
      <c r="C33" s="152"/>
      <c r="D33" s="152"/>
      <c r="E33" s="152"/>
      <c r="F33" s="152" t="s">
        <v>460</v>
      </c>
      <c r="G33" s="152" t="s">
        <v>452</v>
      </c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 spans="1:28" ht="12.75" x14ac:dyDescent="0.2">
      <c r="A34" s="152"/>
      <c r="B34" s="152"/>
      <c r="C34" s="152"/>
      <c r="D34" s="152"/>
      <c r="E34" s="152"/>
      <c r="F34" s="152" t="s">
        <v>461</v>
      </c>
      <c r="G34" s="152" t="s">
        <v>455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 spans="1:28" ht="25.5" x14ac:dyDescent="0.2">
      <c r="A35" s="152"/>
      <c r="B35" s="152"/>
      <c r="C35" s="152"/>
      <c r="D35" s="152"/>
      <c r="E35" s="152"/>
      <c r="F35" s="152" t="s">
        <v>462</v>
      </c>
      <c r="G35" s="152" t="s">
        <v>458</v>
      </c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</row>
    <row r="36" spans="1:28" ht="25.5" x14ac:dyDescent="0.2">
      <c r="A36" s="152"/>
      <c r="B36" s="152"/>
      <c r="C36" s="152"/>
      <c r="D36" s="152"/>
      <c r="E36" s="152"/>
      <c r="F36" s="152" t="s">
        <v>463</v>
      </c>
      <c r="G36" s="152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 spans="1:28" ht="76.5" x14ac:dyDescent="0.2">
      <c r="A37" s="153">
        <v>6</v>
      </c>
      <c r="B37" s="153" t="s">
        <v>464</v>
      </c>
      <c r="C37" s="153" t="s">
        <v>465</v>
      </c>
      <c r="D37" s="153" t="s">
        <v>466</v>
      </c>
      <c r="E37" s="153" t="s">
        <v>467</v>
      </c>
      <c r="F37" s="153" t="s">
        <v>468</v>
      </c>
      <c r="G37" s="153" t="s">
        <v>469</v>
      </c>
      <c r="H37" s="146"/>
      <c r="I37" s="146"/>
      <c r="J37" s="146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</row>
    <row r="38" spans="1:28" ht="25.5" x14ac:dyDescent="0.2">
      <c r="A38" s="153"/>
      <c r="B38" s="153"/>
      <c r="C38" s="153"/>
      <c r="D38" s="153"/>
      <c r="E38" s="153"/>
      <c r="F38" s="153" t="s">
        <v>470</v>
      </c>
      <c r="G38" s="153" t="s">
        <v>471</v>
      </c>
      <c r="H38" s="146"/>
      <c r="I38" s="146"/>
      <c r="J38" s="146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</row>
    <row r="39" spans="1:28" ht="25.5" x14ac:dyDescent="0.2">
      <c r="A39" s="153"/>
      <c r="B39" s="153"/>
      <c r="C39" s="153"/>
      <c r="D39" s="153" t="s">
        <v>472</v>
      </c>
      <c r="E39" s="153" t="s">
        <v>473</v>
      </c>
      <c r="F39" s="153" t="s">
        <v>474</v>
      </c>
      <c r="G39" s="153" t="s">
        <v>475</v>
      </c>
      <c r="H39" s="146"/>
      <c r="I39" s="146"/>
      <c r="J39" s="146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</row>
    <row r="40" spans="1:28" ht="12.75" x14ac:dyDescent="0.2">
      <c r="A40" s="153"/>
      <c r="B40" s="153"/>
      <c r="C40" s="153"/>
      <c r="D40" s="153"/>
      <c r="E40" s="153"/>
      <c r="F40" s="153" t="s">
        <v>476</v>
      </c>
      <c r="G40" s="153" t="s">
        <v>477</v>
      </c>
      <c r="H40" s="146"/>
      <c r="I40" s="146"/>
      <c r="J40" s="146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</row>
    <row r="41" spans="1:28" ht="25.5" x14ac:dyDescent="0.2">
      <c r="A41" s="153"/>
      <c r="B41" s="153"/>
      <c r="C41" s="153"/>
      <c r="D41" s="153" t="s">
        <v>478</v>
      </c>
      <c r="E41" s="153" t="s">
        <v>479</v>
      </c>
      <c r="F41" s="153" t="s">
        <v>480</v>
      </c>
      <c r="G41" s="153" t="s">
        <v>481</v>
      </c>
      <c r="H41" s="146"/>
      <c r="I41" s="146"/>
      <c r="J41" s="146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</row>
    <row r="42" spans="1:28" ht="12.75" x14ac:dyDescent="0.2">
      <c r="A42" s="153"/>
      <c r="B42" s="153"/>
      <c r="C42" s="153"/>
      <c r="D42" s="153"/>
      <c r="E42" s="153"/>
      <c r="F42" s="153" t="s">
        <v>482</v>
      </c>
      <c r="G42" s="153" t="s">
        <v>483</v>
      </c>
      <c r="H42" s="146"/>
      <c r="I42" s="146"/>
      <c r="J42" s="146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</row>
    <row r="43" spans="1:28" ht="51" x14ac:dyDescent="0.2">
      <c r="A43" s="153"/>
      <c r="B43" s="153"/>
      <c r="C43" s="153"/>
      <c r="D43" s="153" t="s">
        <v>484</v>
      </c>
      <c r="E43" s="153" t="s">
        <v>485</v>
      </c>
      <c r="F43" s="153" t="s">
        <v>486</v>
      </c>
      <c r="G43" s="153" t="s">
        <v>487</v>
      </c>
      <c r="H43" s="146"/>
      <c r="I43" s="146"/>
      <c r="J43" s="146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</row>
    <row r="44" spans="1:28" ht="12.75" x14ac:dyDescent="0.2">
      <c r="A44" s="153"/>
      <c r="B44" s="153"/>
      <c r="C44" s="153"/>
      <c r="D44" s="153"/>
      <c r="E44" s="153"/>
      <c r="F44" s="153"/>
      <c r="G44" s="153" t="s">
        <v>488</v>
      </c>
      <c r="H44" s="146"/>
      <c r="I44" s="146"/>
      <c r="J44" s="146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</row>
    <row r="45" spans="1:28" ht="25.5" x14ac:dyDescent="0.2">
      <c r="A45" s="153"/>
      <c r="B45" s="153"/>
      <c r="C45" s="153"/>
      <c r="D45" s="153"/>
      <c r="E45" s="153"/>
      <c r="F45" s="153"/>
      <c r="G45" s="153" t="s">
        <v>489</v>
      </c>
      <c r="H45" s="146"/>
      <c r="I45" s="146"/>
      <c r="J45" s="146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</row>
    <row r="46" spans="1:28" ht="12.75" x14ac:dyDescent="0.2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</row>
    <row r="47" spans="1:28" ht="12.75" x14ac:dyDescent="0.2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</row>
    <row r="48" spans="1:28" ht="12.75" x14ac:dyDescent="0.2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</row>
    <row r="49" spans="1:28" ht="12.75" x14ac:dyDescent="0.2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</row>
    <row r="50" spans="1:28" ht="12.75" x14ac:dyDescent="0.2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</row>
    <row r="51" spans="1:28" ht="12.75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</row>
    <row r="52" spans="1:28" ht="12.75" x14ac:dyDescent="0.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</row>
    <row r="53" spans="1:28" ht="12.75" x14ac:dyDescent="0.2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</row>
    <row r="54" spans="1:28" ht="12.75" x14ac:dyDescent="0.2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</row>
    <row r="55" spans="1:28" ht="12.75" x14ac:dyDescent="0.2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</row>
    <row r="56" spans="1:28" ht="12.75" x14ac:dyDescent="0.2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</row>
    <row r="57" spans="1:28" ht="12.75" x14ac:dyDescent="0.2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</row>
    <row r="58" spans="1:28" ht="12.75" x14ac:dyDescent="0.2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 spans="1:28" ht="12.75" x14ac:dyDescent="0.2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</row>
    <row r="60" spans="1:28" ht="12.75" x14ac:dyDescent="0.2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</row>
    <row r="61" spans="1:28" ht="12.75" x14ac:dyDescent="0.2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</row>
    <row r="62" spans="1:28" ht="12.75" x14ac:dyDescent="0.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</row>
    <row r="63" spans="1:28" ht="12.75" x14ac:dyDescent="0.2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</row>
    <row r="64" spans="1:28" ht="12.75" x14ac:dyDescent="0.2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</row>
    <row r="65" spans="1:28" ht="12.75" x14ac:dyDescent="0.2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</row>
    <row r="66" spans="1:28" ht="12.75" x14ac:dyDescent="0.2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</row>
    <row r="67" spans="1:28" ht="12.75" x14ac:dyDescent="0.2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</row>
    <row r="68" spans="1:28" ht="12.75" x14ac:dyDescent="0.2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</row>
    <row r="69" spans="1:28" ht="12.75" x14ac:dyDescent="0.2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</row>
    <row r="70" spans="1:28" ht="12.75" x14ac:dyDescent="0.2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</row>
    <row r="71" spans="1:28" ht="12.75" x14ac:dyDescent="0.2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</row>
    <row r="72" spans="1:28" ht="12.75" x14ac:dyDescent="0.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</row>
    <row r="73" spans="1:28" ht="12.75" x14ac:dyDescent="0.2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</row>
    <row r="74" spans="1:28" ht="12.75" x14ac:dyDescent="0.2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</row>
    <row r="75" spans="1:28" ht="12.75" x14ac:dyDescent="0.2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</row>
    <row r="76" spans="1:28" ht="12.75" x14ac:dyDescent="0.2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</row>
    <row r="77" spans="1:28" ht="12.75" x14ac:dyDescent="0.2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</row>
    <row r="78" spans="1:28" ht="12.75" x14ac:dyDescent="0.2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</row>
    <row r="79" spans="1:28" ht="12.75" x14ac:dyDescent="0.2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</row>
    <row r="80" spans="1:28" ht="12.75" x14ac:dyDescent="0.2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</row>
    <row r="81" spans="1:28" ht="12.75" x14ac:dyDescent="0.2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</row>
    <row r="82" spans="1:28" ht="12.75" x14ac:dyDescent="0.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</row>
    <row r="83" spans="1:28" ht="12.75" x14ac:dyDescent="0.2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</row>
    <row r="84" spans="1:28" ht="12.75" x14ac:dyDescent="0.2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</row>
    <row r="85" spans="1:28" ht="12.75" x14ac:dyDescent="0.2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</row>
    <row r="86" spans="1:28" ht="12.75" x14ac:dyDescent="0.2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</row>
    <row r="87" spans="1:28" ht="12.75" x14ac:dyDescent="0.2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</row>
    <row r="88" spans="1:28" ht="12.75" x14ac:dyDescent="0.2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</row>
    <row r="89" spans="1:28" ht="12.75" x14ac:dyDescent="0.2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</row>
    <row r="90" spans="1:28" ht="12.75" x14ac:dyDescent="0.2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</row>
    <row r="91" spans="1:28" ht="12.75" x14ac:dyDescent="0.2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</row>
    <row r="92" spans="1:28" ht="12.75" x14ac:dyDescent="0.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</row>
    <row r="93" spans="1:28" ht="12.75" x14ac:dyDescent="0.2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</row>
    <row r="94" spans="1:28" ht="12.75" x14ac:dyDescent="0.2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</row>
    <row r="95" spans="1:28" ht="12.75" x14ac:dyDescent="0.2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</row>
    <row r="96" spans="1:28" ht="12.75" x14ac:dyDescent="0.2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</row>
    <row r="97" spans="1:28" ht="12.75" x14ac:dyDescent="0.2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</row>
    <row r="98" spans="1:28" ht="12.75" x14ac:dyDescent="0.2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</row>
    <row r="99" spans="1:28" ht="12.75" x14ac:dyDescent="0.2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</row>
    <row r="100" spans="1:28" ht="12.75" x14ac:dyDescent="0.2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</row>
    <row r="101" spans="1:28" ht="12.75" x14ac:dyDescent="0.2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</row>
    <row r="102" spans="1:28" ht="12.75" x14ac:dyDescent="0.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</row>
    <row r="103" spans="1:28" ht="12.75" x14ac:dyDescent="0.2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</row>
    <row r="104" spans="1:28" ht="12.75" x14ac:dyDescent="0.2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</row>
    <row r="105" spans="1:28" ht="12.75" x14ac:dyDescent="0.2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</row>
    <row r="106" spans="1:28" ht="12.75" x14ac:dyDescent="0.2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</row>
    <row r="107" spans="1:28" ht="12.75" x14ac:dyDescent="0.2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</row>
    <row r="108" spans="1:28" ht="12.75" x14ac:dyDescent="0.2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</row>
    <row r="109" spans="1:28" ht="12.75" x14ac:dyDescent="0.2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</row>
    <row r="110" spans="1:28" ht="12.75" x14ac:dyDescent="0.2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</row>
    <row r="111" spans="1:28" ht="12.75" x14ac:dyDescent="0.2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</row>
    <row r="112" spans="1:28" ht="12.75" x14ac:dyDescent="0.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</row>
    <row r="113" spans="1:28" ht="12.75" x14ac:dyDescent="0.2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</row>
    <row r="114" spans="1:28" ht="12.75" x14ac:dyDescent="0.2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</row>
    <row r="115" spans="1:28" ht="12.75" x14ac:dyDescent="0.2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</row>
    <row r="116" spans="1:28" ht="12.75" x14ac:dyDescent="0.2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</row>
    <row r="117" spans="1:28" ht="12.75" x14ac:dyDescent="0.2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</row>
    <row r="118" spans="1:28" ht="12.75" x14ac:dyDescent="0.2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</row>
    <row r="119" spans="1:28" ht="12.75" x14ac:dyDescent="0.2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</row>
    <row r="120" spans="1:28" ht="12.75" x14ac:dyDescent="0.2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</row>
    <row r="121" spans="1:28" ht="12.75" x14ac:dyDescent="0.2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</row>
    <row r="122" spans="1:28" ht="12.75" x14ac:dyDescent="0.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</row>
    <row r="123" spans="1:28" ht="12.75" x14ac:dyDescent="0.2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</row>
    <row r="124" spans="1:28" ht="12.75" x14ac:dyDescent="0.2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</row>
    <row r="125" spans="1:28" ht="12.75" x14ac:dyDescent="0.2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</row>
    <row r="126" spans="1:28" ht="12.75" x14ac:dyDescent="0.2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</row>
    <row r="127" spans="1:28" ht="12.75" x14ac:dyDescent="0.2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</row>
    <row r="128" spans="1:28" ht="12.75" x14ac:dyDescent="0.2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</row>
    <row r="129" spans="1:28" ht="12.75" x14ac:dyDescent="0.2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</row>
    <row r="130" spans="1:28" ht="12.75" x14ac:dyDescent="0.2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</row>
    <row r="131" spans="1:28" ht="12.75" x14ac:dyDescent="0.2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</row>
    <row r="132" spans="1:28" ht="12.75" x14ac:dyDescent="0.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</row>
    <row r="133" spans="1:28" ht="12.75" x14ac:dyDescent="0.2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</row>
    <row r="134" spans="1:28" ht="12.75" x14ac:dyDescent="0.2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</row>
    <row r="135" spans="1:28" ht="12.75" x14ac:dyDescent="0.2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</row>
    <row r="136" spans="1:28" ht="12.75" x14ac:dyDescent="0.2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</row>
    <row r="137" spans="1:28" ht="12.75" x14ac:dyDescent="0.2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</row>
    <row r="138" spans="1:28" ht="12.75" x14ac:dyDescent="0.2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</row>
    <row r="139" spans="1:28" ht="12.75" x14ac:dyDescent="0.2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</row>
    <row r="140" spans="1:28" ht="12.75" x14ac:dyDescent="0.2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</row>
    <row r="141" spans="1:28" ht="12.75" x14ac:dyDescent="0.2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</row>
    <row r="142" spans="1:28" ht="12.75" x14ac:dyDescent="0.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</row>
    <row r="143" spans="1:28" ht="12.75" x14ac:dyDescent="0.2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</row>
    <row r="144" spans="1:28" ht="12.75" x14ac:dyDescent="0.2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</row>
    <row r="145" spans="1:28" ht="12.75" x14ac:dyDescent="0.2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</row>
    <row r="146" spans="1:28" ht="12.75" x14ac:dyDescent="0.2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</row>
    <row r="147" spans="1:28" ht="12.75" x14ac:dyDescent="0.2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</row>
    <row r="148" spans="1:28" ht="12.75" x14ac:dyDescent="0.2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</row>
    <row r="149" spans="1:28" ht="12.75" x14ac:dyDescent="0.2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</row>
    <row r="150" spans="1:28" ht="12.75" x14ac:dyDescent="0.2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</row>
    <row r="151" spans="1:28" ht="12.75" x14ac:dyDescent="0.2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</row>
    <row r="152" spans="1:28" ht="12.75" x14ac:dyDescent="0.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</row>
    <row r="153" spans="1:28" ht="12.75" x14ac:dyDescent="0.2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</row>
    <row r="154" spans="1:28" ht="12.75" x14ac:dyDescent="0.2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</row>
    <row r="155" spans="1:28" ht="12.75" x14ac:dyDescent="0.2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</row>
    <row r="156" spans="1:28" ht="12.75" x14ac:dyDescent="0.2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</row>
    <row r="157" spans="1:28" ht="12.75" x14ac:dyDescent="0.2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</row>
    <row r="158" spans="1:28" ht="12.75" x14ac:dyDescent="0.2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</row>
    <row r="159" spans="1:28" ht="12.75" x14ac:dyDescent="0.2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</row>
    <row r="160" spans="1:28" ht="12.75" x14ac:dyDescent="0.2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</row>
    <row r="161" spans="1:28" ht="12.75" x14ac:dyDescent="0.2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</row>
    <row r="162" spans="1:28" ht="12.75" x14ac:dyDescent="0.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</row>
    <row r="163" spans="1:28" ht="12.75" x14ac:dyDescent="0.2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</row>
    <row r="164" spans="1:28" ht="12.75" x14ac:dyDescent="0.2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</row>
    <row r="165" spans="1:28" ht="12.75" x14ac:dyDescent="0.2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</row>
    <row r="166" spans="1:28" ht="12.75" x14ac:dyDescent="0.2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</row>
    <row r="167" spans="1:28" ht="12.75" x14ac:dyDescent="0.2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</row>
    <row r="168" spans="1:28" ht="12.75" x14ac:dyDescent="0.2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</row>
    <row r="169" spans="1:28" ht="12.75" x14ac:dyDescent="0.2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</row>
    <row r="170" spans="1:28" ht="12.75" x14ac:dyDescent="0.2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</row>
    <row r="171" spans="1:28" ht="12.75" x14ac:dyDescent="0.2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</row>
    <row r="172" spans="1:28" ht="12.75" x14ac:dyDescent="0.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</row>
    <row r="173" spans="1:28" ht="12.75" x14ac:dyDescent="0.2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</row>
    <row r="174" spans="1:28" ht="12.75" x14ac:dyDescent="0.2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</row>
    <row r="175" spans="1:28" ht="12.75" x14ac:dyDescent="0.2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</row>
    <row r="176" spans="1:28" ht="12.75" x14ac:dyDescent="0.2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</row>
    <row r="177" spans="1:28" ht="12.75" x14ac:dyDescent="0.2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</row>
    <row r="178" spans="1:28" ht="12.75" x14ac:dyDescent="0.2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</row>
    <row r="179" spans="1:28" ht="12.75" x14ac:dyDescent="0.2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</row>
    <row r="180" spans="1:28" ht="12.75" x14ac:dyDescent="0.2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</row>
    <row r="181" spans="1:28" ht="12.75" x14ac:dyDescent="0.2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</row>
    <row r="182" spans="1:28" ht="12.75" x14ac:dyDescent="0.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</row>
    <row r="183" spans="1:28" ht="12.75" x14ac:dyDescent="0.2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</row>
    <row r="184" spans="1:28" ht="12.75" x14ac:dyDescent="0.2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</row>
    <row r="185" spans="1:28" ht="12.75" x14ac:dyDescent="0.2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</row>
    <row r="186" spans="1:28" ht="12.75" x14ac:dyDescent="0.2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</row>
    <row r="187" spans="1:28" ht="12.75" x14ac:dyDescent="0.2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</row>
    <row r="188" spans="1:28" ht="12.75" x14ac:dyDescent="0.2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</row>
    <row r="189" spans="1:28" ht="12.75" x14ac:dyDescent="0.2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</row>
    <row r="190" spans="1:28" ht="12.75" x14ac:dyDescent="0.2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</row>
    <row r="191" spans="1:28" ht="12.75" x14ac:dyDescent="0.2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</row>
    <row r="192" spans="1:28" ht="12.75" x14ac:dyDescent="0.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</row>
    <row r="193" spans="1:28" ht="12.75" x14ac:dyDescent="0.2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</row>
    <row r="194" spans="1:28" ht="12.75" x14ac:dyDescent="0.2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</row>
    <row r="195" spans="1:28" ht="12.75" x14ac:dyDescent="0.2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</row>
    <row r="196" spans="1:28" ht="12.75" x14ac:dyDescent="0.2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</row>
    <row r="197" spans="1:28" ht="12.75" x14ac:dyDescent="0.2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</row>
    <row r="198" spans="1:28" ht="12.75" x14ac:dyDescent="0.2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</row>
    <row r="199" spans="1:28" ht="12.75" x14ac:dyDescent="0.2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</row>
    <row r="200" spans="1:28" ht="12.75" x14ac:dyDescent="0.2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</row>
    <row r="201" spans="1:28" ht="12.75" x14ac:dyDescent="0.2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</row>
    <row r="202" spans="1:28" ht="12.75" x14ac:dyDescent="0.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</row>
    <row r="203" spans="1:28" ht="12.75" x14ac:dyDescent="0.2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</row>
    <row r="204" spans="1:28" ht="12.75" x14ac:dyDescent="0.2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</row>
    <row r="205" spans="1:28" ht="12.75" x14ac:dyDescent="0.2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</row>
    <row r="206" spans="1:28" ht="12.75" x14ac:dyDescent="0.2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</row>
    <row r="207" spans="1:28" ht="12.75" x14ac:dyDescent="0.2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</row>
    <row r="208" spans="1:28" ht="12.75" x14ac:dyDescent="0.2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</row>
    <row r="209" spans="1:28" ht="12.75" x14ac:dyDescent="0.2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</row>
    <row r="210" spans="1:28" ht="12.75" x14ac:dyDescent="0.2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</row>
    <row r="211" spans="1:28" ht="12.75" x14ac:dyDescent="0.2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</row>
    <row r="212" spans="1:28" ht="12.75" x14ac:dyDescent="0.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</row>
    <row r="213" spans="1:28" ht="12.75" x14ac:dyDescent="0.2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</row>
    <row r="214" spans="1:28" ht="12.75" x14ac:dyDescent="0.2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</row>
    <row r="215" spans="1:28" ht="12.75" x14ac:dyDescent="0.2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</row>
    <row r="216" spans="1:28" ht="12.75" x14ac:dyDescent="0.2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</row>
    <row r="217" spans="1:28" ht="12.75" x14ac:dyDescent="0.2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</row>
    <row r="218" spans="1:28" ht="12.75" x14ac:dyDescent="0.2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</row>
    <row r="219" spans="1:28" ht="12.75" x14ac:dyDescent="0.2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</row>
    <row r="220" spans="1:28" ht="12.75" x14ac:dyDescent="0.2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</row>
    <row r="221" spans="1:28" ht="12.75" x14ac:dyDescent="0.2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</row>
    <row r="222" spans="1:28" ht="12.75" x14ac:dyDescent="0.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</row>
    <row r="223" spans="1:28" ht="12.75" x14ac:dyDescent="0.2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</row>
    <row r="224" spans="1:28" ht="12.75" x14ac:dyDescent="0.2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</row>
    <row r="225" spans="1:28" ht="12.75" x14ac:dyDescent="0.2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</row>
    <row r="226" spans="1:28" ht="12.75" x14ac:dyDescent="0.2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</row>
    <row r="227" spans="1:28" ht="12.75" x14ac:dyDescent="0.2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</row>
    <row r="228" spans="1:28" ht="12.75" x14ac:dyDescent="0.2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</row>
    <row r="229" spans="1:28" ht="12.75" x14ac:dyDescent="0.2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</row>
    <row r="230" spans="1:28" ht="12.75" x14ac:dyDescent="0.2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</row>
    <row r="231" spans="1:28" ht="12.75" x14ac:dyDescent="0.2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</row>
    <row r="232" spans="1:28" ht="12.75" x14ac:dyDescent="0.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</row>
    <row r="233" spans="1:28" ht="12.75" x14ac:dyDescent="0.2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</row>
    <row r="234" spans="1:28" ht="12.75" x14ac:dyDescent="0.2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</row>
    <row r="235" spans="1:28" ht="12.75" x14ac:dyDescent="0.2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</row>
    <row r="236" spans="1:28" ht="12.75" x14ac:dyDescent="0.2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</row>
    <row r="237" spans="1:28" ht="12.75" x14ac:dyDescent="0.2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</row>
    <row r="238" spans="1:28" ht="12.75" x14ac:dyDescent="0.2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</row>
    <row r="239" spans="1:28" ht="12.75" x14ac:dyDescent="0.2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</row>
    <row r="240" spans="1:28" ht="12.75" x14ac:dyDescent="0.2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</row>
    <row r="241" spans="1:28" ht="12.75" x14ac:dyDescent="0.2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</row>
    <row r="242" spans="1:28" ht="12.75" x14ac:dyDescent="0.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</row>
    <row r="243" spans="1:28" ht="12.75" x14ac:dyDescent="0.2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</row>
    <row r="244" spans="1:28" ht="12.75" x14ac:dyDescent="0.2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</row>
    <row r="245" spans="1:28" ht="12.75" x14ac:dyDescent="0.2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</row>
    <row r="246" spans="1:28" ht="12.75" x14ac:dyDescent="0.2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</row>
    <row r="247" spans="1:28" ht="12.75" x14ac:dyDescent="0.2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</row>
    <row r="248" spans="1:28" ht="12.75" x14ac:dyDescent="0.2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</row>
    <row r="249" spans="1:28" ht="12.75" x14ac:dyDescent="0.2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</row>
    <row r="250" spans="1:28" ht="12.75" x14ac:dyDescent="0.2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</row>
    <row r="251" spans="1:28" ht="12.75" x14ac:dyDescent="0.2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</row>
    <row r="252" spans="1:28" ht="12.75" x14ac:dyDescent="0.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</row>
    <row r="253" spans="1:28" ht="12.75" x14ac:dyDescent="0.2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</row>
    <row r="254" spans="1:28" ht="12.75" x14ac:dyDescent="0.2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</row>
    <row r="255" spans="1:28" ht="12.75" x14ac:dyDescent="0.2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</row>
    <row r="256" spans="1:28" ht="12.75" x14ac:dyDescent="0.2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</row>
    <row r="257" spans="1:28" ht="12.75" x14ac:dyDescent="0.2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</row>
    <row r="258" spans="1:28" ht="12.75" x14ac:dyDescent="0.2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</row>
    <row r="259" spans="1:28" ht="12.75" x14ac:dyDescent="0.2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</row>
    <row r="260" spans="1:28" ht="12.75" x14ac:dyDescent="0.2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</row>
    <row r="261" spans="1:28" ht="12.75" x14ac:dyDescent="0.2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</row>
    <row r="262" spans="1:28" ht="12.75" x14ac:dyDescent="0.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</row>
    <row r="263" spans="1:28" ht="12.75" x14ac:dyDescent="0.2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</row>
    <row r="264" spans="1:28" ht="12.75" x14ac:dyDescent="0.2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</row>
    <row r="265" spans="1:28" ht="12.75" x14ac:dyDescent="0.2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</row>
    <row r="266" spans="1:28" ht="12.75" x14ac:dyDescent="0.2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</row>
    <row r="267" spans="1:28" ht="12.75" x14ac:dyDescent="0.2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</row>
    <row r="268" spans="1:28" ht="12.75" x14ac:dyDescent="0.2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</row>
    <row r="269" spans="1:28" ht="12.75" x14ac:dyDescent="0.2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</row>
    <row r="270" spans="1:28" ht="12.75" x14ac:dyDescent="0.2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</row>
    <row r="271" spans="1:28" ht="12.75" x14ac:dyDescent="0.2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</row>
    <row r="272" spans="1:28" ht="12.75" x14ac:dyDescent="0.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</row>
    <row r="273" spans="1:28" ht="12.75" x14ac:dyDescent="0.2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</row>
    <row r="274" spans="1:28" ht="12.75" x14ac:dyDescent="0.2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</row>
    <row r="275" spans="1:28" ht="12.75" x14ac:dyDescent="0.2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</row>
    <row r="276" spans="1:28" ht="12.75" x14ac:dyDescent="0.2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</row>
    <row r="277" spans="1:28" ht="12.75" x14ac:dyDescent="0.2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</row>
    <row r="278" spans="1:28" ht="12.75" x14ac:dyDescent="0.2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</row>
    <row r="279" spans="1:28" ht="12.75" x14ac:dyDescent="0.2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</row>
    <row r="280" spans="1:28" ht="12.75" x14ac:dyDescent="0.2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</row>
    <row r="281" spans="1:28" ht="12.75" x14ac:dyDescent="0.2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</row>
    <row r="282" spans="1:28" ht="12.75" x14ac:dyDescent="0.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</row>
    <row r="283" spans="1:28" ht="12.75" x14ac:dyDescent="0.2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</row>
    <row r="284" spans="1:28" ht="12.75" x14ac:dyDescent="0.2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</row>
    <row r="285" spans="1:28" ht="12.75" x14ac:dyDescent="0.2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</row>
    <row r="286" spans="1:28" ht="12.75" x14ac:dyDescent="0.2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</row>
    <row r="287" spans="1:28" ht="12.75" x14ac:dyDescent="0.2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</row>
    <row r="288" spans="1:28" ht="12.75" x14ac:dyDescent="0.2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</row>
    <row r="289" spans="1:28" ht="12.75" x14ac:dyDescent="0.2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</row>
    <row r="290" spans="1:28" ht="12.75" x14ac:dyDescent="0.2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</row>
    <row r="291" spans="1:28" ht="12.75" x14ac:dyDescent="0.2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</row>
    <row r="292" spans="1:28" ht="12.75" x14ac:dyDescent="0.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</row>
    <row r="293" spans="1:28" ht="12.75" x14ac:dyDescent="0.2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</row>
    <row r="294" spans="1:28" ht="12.75" x14ac:dyDescent="0.2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</row>
    <row r="295" spans="1:28" ht="12.75" x14ac:dyDescent="0.2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</row>
    <row r="296" spans="1:28" ht="12.75" x14ac:dyDescent="0.2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</row>
    <row r="297" spans="1:28" ht="12.75" x14ac:dyDescent="0.2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</row>
    <row r="298" spans="1:28" ht="12.75" x14ac:dyDescent="0.2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</row>
    <row r="299" spans="1:28" ht="12.75" x14ac:dyDescent="0.2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</row>
    <row r="300" spans="1:28" ht="12.75" x14ac:dyDescent="0.2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</row>
    <row r="301" spans="1:28" ht="12.75" x14ac:dyDescent="0.2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</row>
    <row r="302" spans="1:28" ht="12.75" x14ac:dyDescent="0.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</row>
    <row r="303" spans="1:28" ht="12.75" x14ac:dyDescent="0.2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</row>
    <row r="304" spans="1:28" ht="12.75" x14ac:dyDescent="0.2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</row>
    <row r="305" spans="1:28" ht="12.75" x14ac:dyDescent="0.2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</row>
    <row r="306" spans="1:28" ht="12.75" x14ac:dyDescent="0.2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</row>
    <row r="307" spans="1:28" ht="12.75" x14ac:dyDescent="0.2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</row>
    <row r="308" spans="1:28" ht="12.75" x14ac:dyDescent="0.2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</row>
    <row r="309" spans="1:28" ht="12.75" x14ac:dyDescent="0.2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</row>
    <row r="310" spans="1:28" ht="12.75" x14ac:dyDescent="0.2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</row>
    <row r="311" spans="1:28" ht="12.75" x14ac:dyDescent="0.2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</row>
    <row r="312" spans="1:28" ht="12.75" x14ac:dyDescent="0.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</row>
    <row r="313" spans="1:28" ht="12.75" x14ac:dyDescent="0.2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</row>
    <row r="314" spans="1:28" ht="12.75" x14ac:dyDescent="0.2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</row>
    <row r="315" spans="1:28" ht="12.75" x14ac:dyDescent="0.2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</row>
    <row r="316" spans="1:28" ht="12.75" x14ac:dyDescent="0.2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</row>
    <row r="317" spans="1:28" ht="12.75" x14ac:dyDescent="0.2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</row>
    <row r="318" spans="1:28" ht="12.75" x14ac:dyDescent="0.2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</row>
    <row r="319" spans="1:28" ht="12.75" x14ac:dyDescent="0.2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</row>
    <row r="320" spans="1:28" ht="12.75" x14ac:dyDescent="0.2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</row>
    <row r="321" spans="1:28" ht="12.75" x14ac:dyDescent="0.2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</row>
    <row r="322" spans="1:28" ht="12.75" x14ac:dyDescent="0.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</row>
    <row r="323" spans="1:28" ht="12.75" x14ac:dyDescent="0.2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</row>
    <row r="324" spans="1:28" ht="12.75" x14ac:dyDescent="0.2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</row>
    <row r="325" spans="1:28" ht="12.75" x14ac:dyDescent="0.2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</row>
    <row r="326" spans="1:28" ht="12.75" x14ac:dyDescent="0.2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</row>
    <row r="327" spans="1:28" ht="12.75" x14ac:dyDescent="0.2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</row>
    <row r="328" spans="1:28" ht="12.75" x14ac:dyDescent="0.2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</row>
    <row r="329" spans="1:28" ht="12.75" x14ac:dyDescent="0.2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</row>
    <row r="330" spans="1:28" ht="12.75" x14ac:dyDescent="0.2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</row>
    <row r="331" spans="1:28" ht="12.75" x14ac:dyDescent="0.2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</row>
    <row r="332" spans="1:28" ht="12.75" x14ac:dyDescent="0.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</row>
    <row r="333" spans="1:28" ht="12.75" x14ac:dyDescent="0.2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</row>
    <row r="334" spans="1:28" ht="12.75" x14ac:dyDescent="0.2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</row>
    <row r="335" spans="1:28" ht="12.75" x14ac:dyDescent="0.2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</row>
    <row r="336" spans="1:28" ht="12.75" x14ac:dyDescent="0.2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</row>
    <row r="337" spans="1:28" ht="12.75" x14ac:dyDescent="0.2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</row>
    <row r="338" spans="1:28" ht="12.75" x14ac:dyDescent="0.2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</row>
    <row r="339" spans="1:28" ht="12.75" x14ac:dyDescent="0.2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</row>
    <row r="340" spans="1:28" ht="12.75" x14ac:dyDescent="0.2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</row>
    <row r="341" spans="1:28" ht="12.75" x14ac:dyDescent="0.2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</row>
    <row r="342" spans="1:28" ht="12.75" x14ac:dyDescent="0.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</row>
    <row r="343" spans="1:28" ht="12.75" x14ac:dyDescent="0.2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</row>
    <row r="344" spans="1:28" ht="12.75" x14ac:dyDescent="0.2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</row>
    <row r="345" spans="1:28" ht="12.75" x14ac:dyDescent="0.2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</row>
    <row r="346" spans="1:28" ht="12.75" x14ac:dyDescent="0.2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</row>
    <row r="347" spans="1:28" ht="12.75" x14ac:dyDescent="0.2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</row>
    <row r="348" spans="1:28" ht="12.75" x14ac:dyDescent="0.2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</row>
    <row r="349" spans="1:28" ht="12.75" x14ac:dyDescent="0.2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</row>
    <row r="350" spans="1:28" ht="12.75" x14ac:dyDescent="0.2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</row>
    <row r="351" spans="1:28" ht="12.75" x14ac:dyDescent="0.2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</row>
    <row r="352" spans="1:28" ht="12.75" x14ac:dyDescent="0.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</row>
    <row r="353" spans="1:28" ht="12.75" x14ac:dyDescent="0.2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</row>
    <row r="354" spans="1:28" ht="12.75" x14ac:dyDescent="0.2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</row>
    <row r="355" spans="1:28" ht="12.75" x14ac:dyDescent="0.2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</row>
    <row r="356" spans="1:28" ht="12.75" x14ac:dyDescent="0.2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</row>
    <row r="357" spans="1:28" ht="12.75" x14ac:dyDescent="0.2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</row>
    <row r="358" spans="1:28" ht="12.75" x14ac:dyDescent="0.2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</row>
    <row r="359" spans="1:28" ht="12.75" x14ac:dyDescent="0.2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</row>
    <row r="360" spans="1:28" ht="12.75" x14ac:dyDescent="0.2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</row>
    <row r="361" spans="1:28" ht="12.75" x14ac:dyDescent="0.2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</row>
    <row r="362" spans="1:28" ht="12.75" x14ac:dyDescent="0.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</row>
    <row r="363" spans="1:28" ht="12.75" x14ac:dyDescent="0.2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</row>
    <row r="364" spans="1:28" ht="12.75" x14ac:dyDescent="0.2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</row>
    <row r="365" spans="1:28" ht="12.75" x14ac:dyDescent="0.2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</row>
    <row r="366" spans="1:28" ht="12.75" x14ac:dyDescent="0.2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</row>
    <row r="367" spans="1:28" ht="12.75" x14ac:dyDescent="0.2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</row>
    <row r="368" spans="1:28" ht="12.75" x14ac:dyDescent="0.2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</row>
    <row r="369" spans="1:28" ht="12.75" x14ac:dyDescent="0.2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</row>
    <row r="370" spans="1:28" ht="12.75" x14ac:dyDescent="0.2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</row>
    <row r="371" spans="1:28" ht="12.75" x14ac:dyDescent="0.2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</row>
    <row r="372" spans="1:28" ht="12.75" x14ac:dyDescent="0.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</row>
    <row r="373" spans="1:28" ht="12.75" x14ac:dyDescent="0.2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</row>
    <row r="374" spans="1:28" ht="12.75" x14ac:dyDescent="0.2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</row>
    <row r="375" spans="1:28" ht="12.75" x14ac:dyDescent="0.2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</row>
    <row r="376" spans="1:28" ht="12.75" x14ac:dyDescent="0.2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</row>
    <row r="377" spans="1:28" ht="12.75" x14ac:dyDescent="0.2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</row>
    <row r="378" spans="1:28" ht="12.75" x14ac:dyDescent="0.2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</row>
    <row r="379" spans="1:28" ht="12.75" x14ac:dyDescent="0.2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</row>
    <row r="380" spans="1:28" ht="12.75" x14ac:dyDescent="0.2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</row>
    <row r="381" spans="1:28" ht="12.75" x14ac:dyDescent="0.2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</row>
    <row r="382" spans="1:28" ht="12.75" x14ac:dyDescent="0.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</row>
    <row r="383" spans="1:28" ht="12.75" x14ac:dyDescent="0.2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</row>
    <row r="384" spans="1:28" ht="12.75" x14ac:dyDescent="0.2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</row>
    <row r="385" spans="1:28" ht="12.75" x14ac:dyDescent="0.2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</row>
    <row r="386" spans="1:28" ht="12.75" x14ac:dyDescent="0.2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</row>
    <row r="387" spans="1:28" ht="12.75" x14ac:dyDescent="0.2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</row>
    <row r="388" spans="1:28" ht="12.75" x14ac:dyDescent="0.2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</row>
    <row r="389" spans="1:28" ht="12.75" x14ac:dyDescent="0.2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</row>
    <row r="390" spans="1:28" ht="12.75" x14ac:dyDescent="0.2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</row>
    <row r="391" spans="1:28" ht="12.75" x14ac:dyDescent="0.2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</row>
    <row r="392" spans="1:28" ht="12.75" x14ac:dyDescent="0.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</row>
    <row r="393" spans="1:28" ht="12.75" x14ac:dyDescent="0.2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</row>
    <row r="394" spans="1:28" ht="12.75" x14ac:dyDescent="0.2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</row>
    <row r="395" spans="1:28" ht="12.75" x14ac:dyDescent="0.2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</row>
    <row r="396" spans="1:28" ht="12.75" x14ac:dyDescent="0.2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</row>
    <row r="397" spans="1:28" ht="12.75" x14ac:dyDescent="0.2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</row>
    <row r="398" spans="1:28" ht="12.75" x14ac:dyDescent="0.2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</row>
    <row r="399" spans="1:28" ht="12.75" x14ac:dyDescent="0.2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</row>
    <row r="400" spans="1:28" ht="12.75" x14ac:dyDescent="0.2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</row>
    <row r="401" spans="1:28" ht="12.75" x14ac:dyDescent="0.2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</row>
    <row r="402" spans="1:28" ht="12.75" x14ac:dyDescent="0.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</row>
    <row r="403" spans="1:28" ht="12.75" x14ac:dyDescent="0.2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</row>
    <row r="404" spans="1:28" ht="12.75" x14ac:dyDescent="0.2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</row>
    <row r="405" spans="1:28" ht="12.75" x14ac:dyDescent="0.2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</row>
    <row r="406" spans="1:28" ht="12.75" x14ac:dyDescent="0.2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</row>
    <row r="407" spans="1:28" ht="12.75" x14ac:dyDescent="0.2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</row>
    <row r="408" spans="1:28" ht="12.75" x14ac:dyDescent="0.2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</row>
    <row r="409" spans="1:28" ht="12.75" x14ac:dyDescent="0.2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</row>
    <row r="410" spans="1:28" ht="12.75" x14ac:dyDescent="0.2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</row>
    <row r="411" spans="1:28" ht="12.75" x14ac:dyDescent="0.2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</row>
    <row r="412" spans="1:28" ht="12.75" x14ac:dyDescent="0.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</row>
    <row r="413" spans="1:28" ht="12.75" x14ac:dyDescent="0.2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</row>
    <row r="414" spans="1:28" ht="12.75" x14ac:dyDescent="0.2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</row>
    <row r="415" spans="1:28" ht="12.75" x14ac:dyDescent="0.2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</row>
    <row r="416" spans="1:28" ht="12.75" x14ac:dyDescent="0.2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</row>
    <row r="417" spans="1:28" ht="12.75" x14ac:dyDescent="0.2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</row>
    <row r="418" spans="1:28" ht="12.75" x14ac:dyDescent="0.2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</row>
    <row r="419" spans="1:28" ht="12.75" x14ac:dyDescent="0.2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</row>
    <row r="420" spans="1:28" ht="12.75" x14ac:dyDescent="0.2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</row>
    <row r="421" spans="1:28" ht="12.75" x14ac:dyDescent="0.2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</row>
    <row r="422" spans="1:28" ht="12.75" x14ac:dyDescent="0.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</row>
    <row r="423" spans="1:28" ht="12.75" x14ac:dyDescent="0.2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</row>
    <row r="424" spans="1:28" ht="12.75" x14ac:dyDescent="0.2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</row>
    <row r="425" spans="1:28" ht="12.75" x14ac:dyDescent="0.2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</row>
    <row r="426" spans="1:28" ht="12.75" x14ac:dyDescent="0.2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</row>
    <row r="427" spans="1:28" ht="12.75" x14ac:dyDescent="0.2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</row>
    <row r="428" spans="1:28" ht="12.75" x14ac:dyDescent="0.2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</row>
    <row r="429" spans="1:28" ht="12.75" x14ac:dyDescent="0.2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</row>
    <row r="430" spans="1:28" ht="12.75" x14ac:dyDescent="0.2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</row>
    <row r="431" spans="1:28" ht="12.75" x14ac:dyDescent="0.2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</row>
    <row r="432" spans="1:28" ht="12.75" x14ac:dyDescent="0.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</row>
    <row r="433" spans="1:28" ht="12.75" x14ac:dyDescent="0.2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</row>
    <row r="434" spans="1:28" ht="12.75" x14ac:dyDescent="0.2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</row>
    <row r="435" spans="1:28" ht="12.75" x14ac:dyDescent="0.2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</row>
    <row r="436" spans="1:28" ht="12.75" x14ac:dyDescent="0.2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</row>
    <row r="437" spans="1:28" ht="12.75" x14ac:dyDescent="0.2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</row>
    <row r="438" spans="1:28" ht="12.75" x14ac:dyDescent="0.2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</row>
    <row r="439" spans="1:28" ht="12.75" x14ac:dyDescent="0.2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</row>
    <row r="440" spans="1:28" ht="12.75" x14ac:dyDescent="0.2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</row>
    <row r="441" spans="1:28" ht="12.75" x14ac:dyDescent="0.2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</row>
    <row r="442" spans="1:28" ht="12.75" x14ac:dyDescent="0.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</row>
    <row r="443" spans="1:28" ht="12.75" x14ac:dyDescent="0.2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</row>
    <row r="444" spans="1:28" ht="12.75" x14ac:dyDescent="0.2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</row>
    <row r="445" spans="1:28" ht="12.75" x14ac:dyDescent="0.2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</row>
    <row r="446" spans="1:28" ht="12.75" x14ac:dyDescent="0.2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</row>
    <row r="447" spans="1:28" ht="12.75" x14ac:dyDescent="0.2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</row>
    <row r="448" spans="1:28" ht="12.75" x14ac:dyDescent="0.2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</row>
    <row r="449" spans="1:28" ht="12.75" x14ac:dyDescent="0.2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</row>
    <row r="450" spans="1:28" ht="12.75" x14ac:dyDescent="0.2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</row>
    <row r="451" spans="1:28" ht="12.75" x14ac:dyDescent="0.2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</row>
    <row r="452" spans="1:28" ht="12.75" x14ac:dyDescent="0.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</row>
    <row r="453" spans="1:28" ht="12.75" x14ac:dyDescent="0.2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</row>
    <row r="454" spans="1:28" ht="12.75" x14ac:dyDescent="0.2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</row>
    <row r="455" spans="1:28" ht="12.75" x14ac:dyDescent="0.2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</row>
    <row r="456" spans="1:28" ht="12.75" x14ac:dyDescent="0.2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</row>
    <row r="457" spans="1:28" ht="12.75" x14ac:dyDescent="0.2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</row>
    <row r="458" spans="1:28" ht="12.75" x14ac:dyDescent="0.2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</row>
    <row r="459" spans="1:28" ht="12.75" x14ac:dyDescent="0.2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</row>
    <row r="460" spans="1:28" ht="12.75" x14ac:dyDescent="0.2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</row>
    <row r="461" spans="1:28" ht="12.75" x14ac:dyDescent="0.2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</row>
    <row r="462" spans="1:28" ht="12.75" x14ac:dyDescent="0.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</row>
    <row r="463" spans="1:28" ht="12.75" x14ac:dyDescent="0.2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</row>
    <row r="464" spans="1:28" ht="12.75" x14ac:dyDescent="0.2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</row>
    <row r="465" spans="1:28" ht="12.75" x14ac:dyDescent="0.2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</row>
    <row r="466" spans="1:28" ht="12.75" x14ac:dyDescent="0.2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</row>
    <row r="467" spans="1:28" ht="12.75" x14ac:dyDescent="0.2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</row>
    <row r="468" spans="1:28" ht="12.75" x14ac:dyDescent="0.2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</row>
    <row r="469" spans="1:28" ht="12.75" x14ac:dyDescent="0.2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</row>
    <row r="470" spans="1:28" ht="12.75" x14ac:dyDescent="0.2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</row>
    <row r="471" spans="1:28" ht="12.75" x14ac:dyDescent="0.2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</row>
    <row r="472" spans="1:28" ht="12.75" x14ac:dyDescent="0.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</row>
    <row r="473" spans="1:28" ht="12.75" x14ac:dyDescent="0.2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</row>
    <row r="474" spans="1:28" ht="12.75" x14ac:dyDescent="0.2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</row>
    <row r="475" spans="1:28" ht="12.75" x14ac:dyDescent="0.2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</row>
    <row r="476" spans="1:28" ht="12.75" x14ac:dyDescent="0.2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</row>
    <row r="477" spans="1:28" ht="12.75" x14ac:dyDescent="0.2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</row>
    <row r="478" spans="1:28" ht="12.75" x14ac:dyDescent="0.2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</row>
    <row r="479" spans="1:28" ht="12.75" x14ac:dyDescent="0.2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</row>
    <row r="480" spans="1:28" ht="12.75" x14ac:dyDescent="0.2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</row>
    <row r="481" spans="1:28" ht="12.75" x14ac:dyDescent="0.2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</row>
    <row r="482" spans="1:28" ht="12.75" x14ac:dyDescent="0.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</row>
    <row r="483" spans="1:28" ht="12.75" x14ac:dyDescent="0.2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</row>
    <row r="484" spans="1:28" ht="12.75" x14ac:dyDescent="0.2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</row>
    <row r="485" spans="1:28" ht="12.75" x14ac:dyDescent="0.2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</row>
    <row r="486" spans="1:28" ht="12.75" x14ac:dyDescent="0.2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</row>
    <row r="487" spans="1:28" ht="12.75" x14ac:dyDescent="0.2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</row>
    <row r="488" spans="1:28" ht="12.75" x14ac:dyDescent="0.2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</row>
    <row r="489" spans="1:28" ht="12.75" x14ac:dyDescent="0.2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</row>
    <row r="490" spans="1:28" ht="12.75" x14ac:dyDescent="0.2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</row>
    <row r="491" spans="1:28" ht="12.75" x14ac:dyDescent="0.2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</row>
    <row r="492" spans="1:28" ht="12.75" x14ac:dyDescent="0.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</row>
    <row r="493" spans="1:28" ht="12.75" x14ac:dyDescent="0.2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</row>
    <row r="494" spans="1:28" ht="12.75" x14ac:dyDescent="0.2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</row>
    <row r="495" spans="1:28" ht="12.75" x14ac:dyDescent="0.2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</row>
    <row r="496" spans="1:28" ht="12.75" x14ac:dyDescent="0.2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</row>
    <row r="497" spans="1:28" ht="12.75" x14ac:dyDescent="0.2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</row>
    <row r="498" spans="1:28" ht="12.75" x14ac:dyDescent="0.2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</row>
    <row r="499" spans="1:28" ht="12.75" x14ac:dyDescent="0.2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</row>
    <row r="500" spans="1:28" ht="12.75" x14ac:dyDescent="0.2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</row>
    <row r="501" spans="1:28" ht="12.75" x14ac:dyDescent="0.2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</row>
    <row r="502" spans="1:28" ht="12.75" x14ac:dyDescent="0.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</row>
    <row r="503" spans="1:28" ht="12.75" x14ac:dyDescent="0.2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</row>
    <row r="504" spans="1:28" ht="12.75" x14ac:dyDescent="0.2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</row>
    <row r="505" spans="1:28" ht="12.75" x14ac:dyDescent="0.2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</row>
    <row r="506" spans="1:28" ht="12.75" x14ac:dyDescent="0.2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</row>
    <row r="507" spans="1:28" ht="12.75" x14ac:dyDescent="0.2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</row>
    <row r="508" spans="1:28" ht="12.75" x14ac:dyDescent="0.2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</row>
    <row r="509" spans="1:28" ht="12.75" x14ac:dyDescent="0.2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</row>
    <row r="510" spans="1:28" ht="12.75" x14ac:dyDescent="0.2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</row>
    <row r="511" spans="1:28" ht="12.75" x14ac:dyDescent="0.2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</row>
    <row r="512" spans="1:28" ht="12.75" x14ac:dyDescent="0.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</row>
    <row r="513" spans="1:28" ht="12.75" x14ac:dyDescent="0.2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</row>
    <row r="514" spans="1:28" ht="12.75" x14ac:dyDescent="0.2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</row>
    <row r="515" spans="1:28" ht="12.75" x14ac:dyDescent="0.2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</row>
    <row r="516" spans="1:28" ht="12.75" x14ac:dyDescent="0.2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</row>
    <row r="517" spans="1:28" ht="12.75" x14ac:dyDescent="0.2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</row>
    <row r="518" spans="1:28" ht="12.75" x14ac:dyDescent="0.2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</row>
    <row r="519" spans="1:28" ht="12.75" x14ac:dyDescent="0.2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</row>
    <row r="520" spans="1:28" ht="12.75" x14ac:dyDescent="0.2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</row>
    <row r="521" spans="1:28" ht="12.75" x14ac:dyDescent="0.2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</row>
    <row r="522" spans="1:28" ht="12.75" x14ac:dyDescent="0.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</row>
    <row r="523" spans="1:28" ht="12.75" x14ac:dyDescent="0.2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</row>
    <row r="524" spans="1:28" ht="12.75" x14ac:dyDescent="0.2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</row>
    <row r="525" spans="1:28" ht="12.75" x14ac:dyDescent="0.2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</row>
    <row r="526" spans="1:28" ht="12.75" x14ac:dyDescent="0.2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</row>
    <row r="527" spans="1:28" ht="12.75" x14ac:dyDescent="0.2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</row>
    <row r="528" spans="1:28" ht="12.75" x14ac:dyDescent="0.2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</row>
    <row r="529" spans="1:28" ht="12.75" x14ac:dyDescent="0.2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</row>
    <row r="530" spans="1:28" ht="12.75" x14ac:dyDescent="0.2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</row>
    <row r="531" spans="1:28" ht="12.75" x14ac:dyDescent="0.2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</row>
    <row r="532" spans="1:28" ht="12.75" x14ac:dyDescent="0.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</row>
    <row r="533" spans="1:28" ht="12.75" x14ac:dyDescent="0.2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</row>
    <row r="534" spans="1:28" ht="12.75" x14ac:dyDescent="0.2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</row>
    <row r="535" spans="1:28" ht="12.75" x14ac:dyDescent="0.2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</row>
    <row r="536" spans="1:28" ht="12.75" x14ac:dyDescent="0.2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</row>
    <row r="537" spans="1:28" ht="12.75" x14ac:dyDescent="0.2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</row>
    <row r="538" spans="1:28" ht="12.75" x14ac:dyDescent="0.2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</row>
    <row r="539" spans="1:28" ht="12.75" x14ac:dyDescent="0.2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</row>
    <row r="540" spans="1:28" ht="12.75" x14ac:dyDescent="0.2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</row>
    <row r="541" spans="1:28" ht="12.75" x14ac:dyDescent="0.2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</row>
    <row r="542" spans="1:28" ht="12.75" x14ac:dyDescent="0.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</row>
    <row r="543" spans="1:28" ht="12.75" x14ac:dyDescent="0.2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</row>
    <row r="544" spans="1:28" ht="12.75" x14ac:dyDescent="0.2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</row>
    <row r="545" spans="1:28" ht="12.75" x14ac:dyDescent="0.2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</row>
    <row r="546" spans="1:28" ht="12.75" x14ac:dyDescent="0.2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</row>
    <row r="547" spans="1:28" ht="12.75" x14ac:dyDescent="0.2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</row>
    <row r="548" spans="1:28" ht="12.75" x14ac:dyDescent="0.2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</row>
    <row r="549" spans="1:28" ht="12.75" x14ac:dyDescent="0.2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</row>
    <row r="550" spans="1:28" ht="12.75" x14ac:dyDescent="0.2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</row>
    <row r="551" spans="1:28" ht="12.75" x14ac:dyDescent="0.2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</row>
    <row r="552" spans="1:28" ht="12.75" x14ac:dyDescent="0.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</row>
    <row r="553" spans="1:28" ht="12.75" x14ac:dyDescent="0.2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</row>
    <row r="554" spans="1:28" ht="12.75" x14ac:dyDescent="0.2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</row>
    <row r="555" spans="1:28" ht="12.75" x14ac:dyDescent="0.2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</row>
    <row r="556" spans="1:28" ht="12.75" x14ac:dyDescent="0.2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</row>
    <row r="557" spans="1:28" ht="12.75" x14ac:dyDescent="0.2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</row>
    <row r="558" spans="1:28" ht="12.75" x14ac:dyDescent="0.2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</row>
    <row r="559" spans="1:28" ht="12.75" x14ac:dyDescent="0.2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</row>
    <row r="560" spans="1:28" ht="12.75" x14ac:dyDescent="0.2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</row>
    <row r="561" spans="1:28" ht="12.75" x14ac:dyDescent="0.2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</row>
    <row r="562" spans="1:28" ht="12.75" x14ac:dyDescent="0.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</row>
    <row r="563" spans="1:28" ht="12.75" x14ac:dyDescent="0.2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</row>
    <row r="564" spans="1:28" ht="12.75" x14ac:dyDescent="0.2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</row>
    <row r="565" spans="1:28" ht="12.75" x14ac:dyDescent="0.2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</row>
    <row r="566" spans="1:28" ht="12.75" x14ac:dyDescent="0.2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</row>
    <row r="567" spans="1:28" ht="12.75" x14ac:dyDescent="0.2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</row>
    <row r="568" spans="1:28" ht="12.75" x14ac:dyDescent="0.2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</row>
    <row r="569" spans="1:28" ht="12.75" x14ac:dyDescent="0.2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</row>
    <row r="570" spans="1:28" ht="12.75" x14ac:dyDescent="0.2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</row>
    <row r="571" spans="1:28" ht="12.75" x14ac:dyDescent="0.2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</row>
    <row r="572" spans="1:28" ht="12.75" x14ac:dyDescent="0.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</row>
    <row r="573" spans="1:28" ht="12.75" x14ac:dyDescent="0.2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</row>
    <row r="574" spans="1:28" ht="12.75" x14ac:dyDescent="0.2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</row>
    <row r="575" spans="1:28" ht="12.75" x14ac:dyDescent="0.2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</row>
    <row r="576" spans="1:28" ht="12.75" x14ac:dyDescent="0.2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</row>
    <row r="577" spans="1:28" ht="12.75" x14ac:dyDescent="0.2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</row>
    <row r="578" spans="1:28" ht="12.75" x14ac:dyDescent="0.2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</row>
    <row r="579" spans="1:28" ht="12.75" x14ac:dyDescent="0.2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</row>
    <row r="580" spans="1:28" ht="12.75" x14ac:dyDescent="0.2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</row>
    <row r="581" spans="1:28" ht="12.75" x14ac:dyDescent="0.2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</row>
    <row r="582" spans="1:28" ht="12.75" x14ac:dyDescent="0.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</row>
    <row r="583" spans="1:28" ht="12.75" x14ac:dyDescent="0.2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</row>
    <row r="584" spans="1:28" ht="12.75" x14ac:dyDescent="0.2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</row>
    <row r="585" spans="1:28" ht="12.75" x14ac:dyDescent="0.2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</row>
    <row r="586" spans="1:28" ht="12.75" x14ac:dyDescent="0.2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</row>
    <row r="587" spans="1:28" ht="12.75" x14ac:dyDescent="0.2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</row>
    <row r="588" spans="1:28" ht="12.75" x14ac:dyDescent="0.2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</row>
    <row r="589" spans="1:28" ht="12.75" x14ac:dyDescent="0.2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</row>
    <row r="590" spans="1:28" ht="12.75" x14ac:dyDescent="0.2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</row>
    <row r="591" spans="1:28" ht="12.75" x14ac:dyDescent="0.2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</row>
    <row r="592" spans="1:28" ht="12.75" x14ac:dyDescent="0.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</row>
    <row r="593" spans="1:28" ht="12.75" x14ac:dyDescent="0.2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</row>
    <row r="594" spans="1:28" ht="12.75" x14ac:dyDescent="0.2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</row>
    <row r="595" spans="1:28" ht="12.75" x14ac:dyDescent="0.2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</row>
    <row r="596" spans="1:28" ht="12.75" x14ac:dyDescent="0.2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</row>
    <row r="597" spans="1:28" ht="12.75" x14ac:dyDescent="0.2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</row>
    <row r="598" spans="1:28" ht="12.75" x14ac:dyDescent="0.2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</row>
    <row r="599" spans="1:28" ht="12.75" x14ac:dyDescent="0.2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</row>
    <row r="600" spans="1:28" ht="12.75" x14ac:dyDescent="0.2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</row>
    <row r="601" spans="1:28" ht="12.75" x14ac:dyDescent="0.2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</row>
    <row r="602" spans="1:28" ht="12.75" x14ac:dyDescent="0.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</row>
    <row r="603" spans="1:28" ht="12.75" x14ac:dyDescent="0.2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</row>
    <row r="604" spans="1:28" ht="12.75" x14ac:dyDescent="0.2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</row>
    <row r="605" spans="1:28" ht="12.75" x14ac:dyDescent="0.2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</row>
    <row r="606" spans="1:28" ht="12.75" x14ac:dyDescent="0.2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</row>
    <row r="607" spans="1:28" ht="12.75" x14ac:dyDescent="0.2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</row>
    <row r="608" spans="1:28" ht="12.75" x14ac:dyDescent="0.2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</row>
    <row r="609" spans="1:28" ht="12.75" x14ac:dyDescent="0.2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</row>
    <row r="610" spans="1:28" ht="12.75" x14ac:dyDescent="0.2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</row>
    <row r="611" spans="1:28" ht="12.75" x14ac:dyDescent="0.2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</row>
    <row r="612" spans="1:28" ht="12.75" x14ac:dyDescent="0.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</row>
    <row r="613" spans="1:28" ht="12.75" x14ac:dyDescent="0.2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</row>
    <row r="614" spans="1:28" ht="12.75" x14ac:dyDescent="0.2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</row>
    <row r="615" spans="1:28" ht="12.75" x14ac:dyDescent="0.2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</row>
    <row r="616" spans="1:28" ht="12.75" x14ac:dyDescent="0.2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</row>
    <row r="617" spans="1:28" ht="12.75" x14ac:dyDescent="0.2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</row>
    <row r="618" spans="1:28" ht="12.75" x14ac:dyDescent="0.2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</row>
    <row r="619" spans="1:28" ht="12.75" x14ac:dyDescent="0.2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</row>
    <row r="620" spans="1:28" ht="12.75" x14ac:dyDescent="0.2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</row>
    <row r="621" spans="1:28" ht="12.75" x14ac:dyDescent="0.2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</row>
    <row r="622" spans="1:28" ht="12.75" x14ac:dyDescent="0.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</row>
    <row r="623" spans="1:28" ht="12.75" x14ac:dyDescent="0.2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</row>
    <row r="624" spans="1:28" ht="12.75" x14ac:dyDescent="0.2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</row>
    <row r="625" spans="1:28" ht="12.75" x14ac:dyDescent="0.2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</row>
    <row r="626" spans="1:28" ht="12.75" x14ac:dyDescent="0.2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</row>
    <row r="627" spans="1:28" ht="12.75" x14ac:dyDescent="0.2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</row>
    <row r="628" spans="1:28" ht="12.75" x14ac:dyDescent="0.2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</row>
    <row r="629" spans="1:28" ht="12.75" x14ac:dyDescent="0.2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</row>
    <row r="630" spans="1:28" ht="12.75" x14ac:dyDescent="0.2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</row>
    <row r="631" spans="1:28" ht="12.75" x14ac:dyDescent="0.2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</row>
    <row r="632" spans="1:28" ht="12.75" x14ac:dyDescent="0.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</row>
    <row r="633" spans="1:28" ht="12.75" x14ac:dyDescent="0.2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</row>
    <row r="634" spans="1:28" ht="12.75" x14ac:dyDescent="0.2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</row>
    <row r="635" spans="1:28" ht="12.75" x14ac:dyDescent="0.2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</row>
    <row r="636" spans="1:28" ht="12.75" x14ac:dyDescent="0.2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</row>
    <row r="637" spans="1:28" ht="12.75" x14ac:dyDescent="0.2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</row>
    <row r="638" spans="1:28" ht="12.75" x14ac:dyDescent="0.2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</row>
    <row r="639" spans="1:28" ht="12.75" x14ac:dyDescent="0.2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</row>
    <row r="640" spans="1:28" ht="12.75" x14ac:dyDescent="0.2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</row>
    <row r="641" spans="1:28" ht="12.75" x14ac:dyDescent="0.2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</row>
    <row r="642" spans="1:28" ht="12.75" x14ac:dyDescent="0.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</row>
    <row r="643" spans="1:28" ht="12.75" x14ac:dyDescent="0.2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</row>
    <row r="644" spans="1:28" ht="12.75" x14ac:dyDescent="0.2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</row>
    <row r="645" spans="1:28" ht="12.75" x14ac:dyDescent="0.2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</row>
    <row r="646" spans="1:28" ht="12.75" x14ac:dyDescent="0.2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</row>
    <row r="647" spans="1:28" ht="12.75" x14ac:dyDescent="0.2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</row>
    <row r="648" spans="1:28" ht="12.75" x14ac:dyDescent="0.2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</row>
    <row r="649" spans="1:28" ht="12.75" x14ac:dyDescent="0.2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</row>
    <row r="650" spans="1:28" ht="12.75" x14ac:dyDescent="0.2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</row>
    <row r="651" spans="1:28" ht="12.75" x14ac:dyDescent="0.2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</row>
    <row r="652" spans="1:28" ht="12.75" x14ac:dyDescent="0.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</row>
    <row r="653" spans="1:28" ht="12.75" x14ac:dyDescent="0.2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</row>
    <row r="654" spans="1:28" ht="12.75" x14ac:dyDescent="0.2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</row>
    <row r="655" spans="1:28" ht="12.75" x14ac:dyDescent="0.2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</row>
    <row r="656" spans="1:28" ht="12.75" x14ac:dyDescent="0.2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</row>
    <row r="657" spans="1:28" ht="12.75" x14ac:dyDescent="0.2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</row>
    <row r="658" spans="1:28" ht="12.75" x14ac:dyDescent="0.2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</row>
    <row r="659" spans="1:28" ht="12.75" x14ac:dyDescent="0.2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</row>
    <row r="660" spans="1:28" ht="12.75" x14ac:dyDescent="0.2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</row>
    <row r="661" spans="1:28" ht="12.75" x14ac:dyDescent="0.2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</row>
    <row r="662" spans="1:28" ht="12.75" x14ac:dyDescent="0.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</row>
    <row r="663" spans="1:28" ht="12.75" x14ac:dyDescent="0.2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</row>
    <row r="664" spans="1:28" ht="12.75" x14ac:dyDescent="0.2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</row>
    <row r="665" spans="1:28" ht="12.75" x14ac:dyDescent="0.2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</row>
    <row r="666" spans="1:28" ht="12.75" x14ac:dyDescent="0.2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</row>
    <row r="667" spans="1:28" ht="12.75" x14ac:dyDescent="0.2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</row>
    <row r="668" spans="1:28" ht="12.75" x14ac:dyDescent="0.2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</row>
    <row r="669" spans="1:28" ht="12.75" x14ac:dyDescent="0.2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</row>
    <row r="670" spans="1:28" ht="12.75" x14ac:dyDescent="0.2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</row>
    <row r="671" spans="1:28" ht="12.75" x14ac:dyDescent="0.2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</row>
    <row r="672" spans="1:28" ht="12.75" x14ac:dyDescent="0.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</row>
    <row r="673" spans="1:28" ht="12.75" x14ac:dyDescent="0.2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</row>
    <row r="674" spans="1:28" ht="12.75" x14ac:dyDescent="0.2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</row>
    <row r="675" spans="1:28" ht="12.75" x14ac:dyDescent="0.2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</row>
    <row r="676" spans="1:28" ht="12.75" x14ac:dyDescent="0.2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</row>
    <row r="677" spans="1:28" ht="12.75" x14ac:dyDescent="0.2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</row>
    <row r="678" spans="1:28" ht="12.75" x14ac:dyDescent="0.2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</row>
    <row r="679" spans="1:28" ht="12.75" x14ac:dyDescent="0.2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</row>
    <row r="680" spans="1:28" ht="12.75" x14ac:dyDescent="0.2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</row>
    <row r="681" spans="1:28" ht="12.75" x14ac:dyDescent="0.2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</row>
    <row r="682" spans="1:28" ht="12.75" x14ac:dyDescent="0.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</row>
    <row r="683" spans="1:28" ht="12.75" x14ac:dyDescent="0.2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</row>
    <row r="684" spans="1:28" ht="12.75" x14ac:dyDescent="0.2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</row>
    <row r="685" spans="1:28" ht="12.75" x14ac:dyDescent="0.2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</row>
    <row r="686" spans="1:28" ht="12.75" x14ac:dyDescent="0.2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</row>
    <row r="687" spans="1:28" ht="12.75" x14ac:dyDescent="0.2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</row>
    <row r="688" spans="1:28" ht="12.75" x14ac:dyDescent="0.2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</row>
    <row r="689" spans="1:28" ht="12.75" x14ac:dyDescent="0.2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</row>
    <row r="690" spans="1:28" ht="12.75" x14ac:dyDescent="0.2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</row>
    <row r="691" spans="1:28" ht="12.75" x14ac:dyDescent="0.2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</row>
    <row r="692" spans="1:28" ht="12.75" x14ac:dyDescent="0.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</row>
    <row r="693" spans="1:28" ht="12.75" x14ac:dyDescent="0.2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</row>
    <row r="694" spans="1:28" ht="12.75" x14ac:dyDescent="0.2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</row>
    <row r="695" spans="1:28" ht="12.75" x14ac:dyDescent="0.2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</row>
    <row r="696" spans="1:28" ht="12.75" x14ac:dyDescent="0.2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</row>
    <row r="697" spans="1:28" ht="12.75" x14ac:dyDescent="0.2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</row>
    <row r="698" spans="1:28" ht="12.75" x14ac:dyDescent="0.2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</row>
    <row r="699" spans="1:28" ht="12.75" x14ac:dyDescent="0.2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</row>
    <row r="700" spans="1:28" ht="12.75" x14ac:dyDescent="0.2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</row>
    <row r="701" spans="1:28" ht="12.75" x14ac:dyDescent="0.2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</row>
    <row r="702" spans="1:28" ht="12.75" x14ac:dyDescent="0.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</row>
    <row r="703" spans="1:28" ht="12.75" x14ac:dyDescent="0.2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</row>
    <row r="704" spans="1:28" ht="12.75" x14ac:dyDescent="0.2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</row>
    <row r="705" spans="1:28" ht="12.75" x14ac:dyDescent="0.2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</row>
    <row r="706" spans="1:28" ht="12.75" x14ac:dyDescent="0.2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</row>
    <row r="707" spans="1:28" ht="12.75" x14ac:dyDescent="0.2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</row>
    <row r="708" spans="1:28" ht="12.75" x14ac:dyDescent="0.2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</row>
    <row r="709" spans="1:28" ht="12.75" x14ac:dyDescent="0.2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</row>
    <row r="710" spans="1:28" ht="12.75" x14ac:dyDescent="0.2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</row>
    <row r="711" spans="1:28" ht="12.75" x14ac:dyDescent="0.2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</row>
    <row r="712" spans="1:28" ht="12.75" x14ac:dyDescent="0.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</row>
    <row r="713" spans="1:28" ht="12.75" x14ac:dyDescent="0.2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</row>
    <row r="714" spans="1:28" ht="12.75" x14ac:dyDescent="0.2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</row>
    <row r="715" spans="1:28" ht="12.75" x14ac:dyDescent="0.2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</row>
    <row r="716" spans="1:28" ht="12.75" x14ac:dyDescent="0.2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</row>
    <row r="717" spans="1:28" ht="12.75" x14ac:dyDescent="0.2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</row>
    <row r="718" spans="1:28" ht="12.75" x14ac:dyDescent="0.2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</row>
    <row r="719" spans="1:28" ht="12.75" x14ac:dyDescent="0.2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</row>
    <row r="720" spans="1:28" ht="12.75" x14ac:dyDescent="0.2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</row>
    <row r="721" spans="1:28" ht="12.75" x14ac:dyDescent="0.2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</row>
    <row r="722" spans="1:28" ht="12.75" x14ac:dyDescent="0.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</row>
    <row r="723" spans="1:28" ht="12.75" x14ac:dyDescent="0.2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</row>
    <row r="724" spans="1:28" ht="12.75" x14ac:dyDescent="0.2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</row>
    <row r="725" spans="1:28" ht="12.75" x14ac:dyDescent="0.2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</row>
    <row r="726" spans="1:28" ht="12.75" x14ac:dyDescent="0.2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</row>
    <row r="727" spans="1:28" ht="12.75" x14ac:dyDescent="0.2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</row>
    <row r="728" spans="1:28" ht="12.75" x14ac:dyDescent="0.2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</row>
    <row r="729" spans="1:28" ht="12.75" x14ac:dyDescent="0.2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</row>
    <row r="730" spans="1:28" ht="12.75" x14ac:dyDescent="0.2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</row>
    <row r="731" spans="1:28" ht="12.75" x14ac:dyDescent="0.2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</row>
    <row r="732" spans="1:28" ht="12.75" x14ac:dyDescent="0.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</row>
    <row r="733" spans="1:28" ht="12.75" x14ac:dyDescent="0.2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</row>
    <row r="734" spans="1:28" ht="12.75" x14ac:dyDescent="0.2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</row>
    <row r="735" spans="1:28" ht="12.75" x14ac:dyDescent="0.2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</row>
    <row r="736" spans="1:28" ht="12.75" x14ac:dyDescent="0.2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</row>
    <row r="737" spans="1:28" ht="12.75" x14ac:dyDescent="0.2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</row>
    <row r="738" spans="1:28" ht="12.75" x14ac:dyDescent="0.2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</row>
    <row r="739" spans="1:28" ht="12.75" x14ac:dyDescent="0.2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</row>
    <row r="740" spans="1:28" ht="12.75" x14ac:dyDescent="0.2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</row>
    <row r="741" spans="1:28" ht="12.75" x14ac:dyDescent="0.2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</row>
    <row r="742" spans="1:28" ht="12.75" x14ac:dyDescent="0.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</row>
    <row r="743" spans="1:28" ht="12.75" x14ac:dyDescent="0.2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</row>
    <row r="744" spans="1:28" ht="12.75" x14ac:dyDescent="0.2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</row>
    <row r="745" spans="1:28" ht="12.75" x14ac:dyDescent="0.2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</row>
    <row r="746" spans="1:28" ht="12.75" x14ac:dyDescent="0.2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</row>
    <row r="747" spans="1:28" ht="12.75" x14ac:dyDescent="0.2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</row>
    <row r="748" spans="1:28" ht="12.75" x14ac:dyDescent="0.2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</row>
    <row r="749" spans="1:28" ht="12.75" x14ac:dyDescent="0.2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</row>
    <row r="750" spans="1:28" ht="12.75" x14ac:dyDescent="0.2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</row>
    <row r="751" spans="1:28" ht="12.75" x14ac:dyDescent="0.2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</row>
    <row r="752" spans="1:28" ht="12.75" x14ac:dyDescent="0.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</row>
    <row r="753" spans="1:28" ht="12.75" x14ac:dyDescent="0.2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</row>
    <row r="754" spans="1:28" ht="12.75" x14ac:dyDescent="0.2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</row>
    <row r="755" spans="1:28" ht="12.75" x14ac:dyDescent="0.2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</row>
    <row r="756" spans="1:28" ht="12.75" x14ac:dyDescent="0.2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</row>
    <row r="757" spans="1:28" ht="12.75" x14ac:dyDescent="0.2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</row>
    <row r="758" spans="1:28" ht="12.75" x14ac:dyDescent="0.2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</row>
    <row r="759" spans="1:28" ht="12.75" x14ac:dyDescent="0.2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</row>
    <row r="760" spans="1:28" ht="12.75" x14ac:dyDescent="0.2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</row>
    <row r="761" spans="1:28" ht="12.75" x14ac:dyDescent="0.2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</row>
    <row r="762" spans="1:28" ht="12.75" x14ac:dyDescent="0.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</row>
    <row r="763" spans="1:28" ht="12.75" x14ac:dyDescent="0.2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</row>
    <row r="764" spans="1:28" ht="12.75" x14ac:dyDescent="0.2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</row>
    <row r="765" spans="1:28" ht="12.75" x14ac:dyDescent="0.2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</row>
    <row r="766" spans="1:28" ht="12.75" x14ac:dyDescent="0.2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</row>
    <row r="767" spans="1:28" ht="12.75" x14ac:dyDescent="0.2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</row>
    <row r="768" spans="1:28" ht="12.75" x14ac:dyDescent="0.2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</row>
    <row r="769" spans="1:28" ht="12.75" x14ac:dyDescent="0.2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</row>
    <row r="770" spans="1:28" ht="12.75" x14ac:dyDescent="0.2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</row>
    <row r="771" spans="1:28" ht="12.75" x14ac:dyDescent="0.2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</row>
    <row r="772" spans="1:28" ht="12.75" x14ac:dyDescent="0.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</row>
    <row r="773" spans="1:28" ht="12.75" x14ac:dyDescent="0.2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</row>
    <row r="774" spans="1:28" ht="12.75" x14ac:dyDescent="0.2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</row>
    <row r="775" spans="1:28" ht="12.75" x14ac:dyDescent="0.2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</row>
    <row r="776" spans="1:28" ht="12.75" x14ac:dyDescent="0.2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</row>
    <row r="777" spans="1:28" ht="12.75" x14ac:dyDescent="0.2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</row>
    <row r="778" spans="1:28" ht="12.75" x14ac:dyDescent="0.2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</row>
    <row r="779" spans="1:28" ht="12.75" x14ac:dyDescent="0.2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</row>
    <row r="780" spans="1:28" ht="12.75" x14ac:dyDescent="0.2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</row>
    <row r="781" spans="1:28" ht="12.75" x14ac:dyDescent="0.2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</row>
    <row r="782" spans="1:28" ht="12.75" x14ac:dyDescent="0.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</row>
    <row r="783" spans="1:28" ht="12.75" x14ac:dyDescent="0.2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</row>
    <row r="784" spans="1:28" ht="12.75" x14ac:dyDescent="0.2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</row>
    <row r="785" spans="1:28" ht="12.75" x14ac:dyDescent="0.2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</row>
    <row r="786" spans="1:28" ht="12.75" x14ac:dyDescent="0.2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</row>
    <row r="787" spans="1:28" ht="12.75" x14ac:dyDescent="0.2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</row>
    <row r="788" spans="1:28" ht="12.75" x14ac:dyDescent="0.2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</row>
    <row r="789" spans="1:28" ht="12.75" x14ac:dyDescent="0.2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</row>
    <row r="790" spans="1:28" ht="12.75" x14ac:dyDescent="0.2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</row>
    <row r="791" spans="1:28" ht="12.75" x14ac:dyDescent="0.2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</row>
    <row r="792" spans="1:28" ht="12.75" x14ac:dyDescent="0.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</row>
    <row r="793" spans="1:28" ht="12.75" x14ac:dyDescent="0.2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</row>
    <row r="794" spans="1:28" ht="12.75" x14ac:dyDescent="0.2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</row>
    <row r="795" spans="1:28" ht="12.75" x14ac:dyDescent="0.2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</row>
    <row r="796" spans="1:28" ht="12.75" x14ac:dyDescent="0.2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</row>
    <row r="797" spans="1:28" ht="12.75" x14ac:dyDescent="0.2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</row>
    <row r="798" spans="1:28" ht="12.75" x14ac:dyDescent="0.2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</row>
    <row r="799" spans="1:28" ht="12.75" x14ac:dyDescent="0.2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</row>
    <row r="800" spans="1:28" ht="12.75" x14ac:dyDescent="0.2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</row>
    <row r="801" spans="1:28" ht="12.75" x14ac:dyDescent="0.2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</row>
    <row r="802" spans="1:28" ht="12.75" x14ac:dyDescent="0.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</row>
    <row r="803" spans="1:28" ht="12.75" x14ac:dyDescent="0.2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</row>
    <row r="804" spans="1:28" ht="12.75" x14ac:dyDescent="0.2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</row>
    <row r="805" spans="1:28" ht="12.75" x14ac:dyDescent="0.2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</row>
    <row r="806" spans="1:28" ht="12.75" x14ac:dyDescent="0.2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</row>
    <row r="807" spans="1:28" ht="12.75" x14ac:dyDescent="0.2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</row>
    <row r="808" spans="1:28" ht="12.75" x14ac:dyDescent="0.2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</row>
    <row r="809" spans="1:28" ht="12.75" x14ac:dyDescent="0.2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</row>
    <row r="810" spans="1:28" ht="12.75" x14ac:dyDescent="0.2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</row>
    <row r="811" spans="1:28" ht="12.75" x14ac:dyDescent="0.2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</row>
    <row r="812" spans="1:28" ht="12.75" x14ac:dyDescent="0.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</row>
    <row r="813" spans="1:28" ht="12.75" x14ac:dyDescent="0.2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</row>
    <row r="814" spans="1:28" ht="12.75" x14ac:dyDescent="0.2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</row>
    <row r="815" spans="1:28" ht="12.75" x14ac:dyDescent="0.2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</row>
    <row r="816" spans="1:28" ht="12.75" x14ac:dyDescent="0.2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</row>
    <row r="817" spans="1:28" ht="12.75" x14ac:dyDescent="0.2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</row>
    <row r="818" spans="1:28" ht="12.75" x14ac:dyDescent="0.2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</row>
    <row r="819" spans="1:28" ht="12.75" x14ac:dyDescent="0.2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</row>
    <row r="820" spans="1:28" ht="12.75" x14ac:dyDescent="0.2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</row>
    <row r="821" spans="1:28" ht="12.75" x14ac:dyDescent="0.2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</row>
    <row r="822" spans="1:28" ht="12.75" x14ac:dyDescent="0.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</row>
    <row r="823" spans="1:28" ht="12.75" x14ac:dyDescent="0.2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</row>
    <row r="824" spans="1:28" ht="12.75" x14ac:dyDescent="0.2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</row>
    <row r="825" spans="1:28" ht="12.75" x14ac:dyDescent="0.2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</row>
    <row r="826" spans="1:28" ht="12.75" x14ac:dyDescent="0.2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</row>
    <row r="827" spans="1:28" ht="12.75" x14ac:dyDescent="0.2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</row>
    <row r="828" spans="1:28" ht="12.75" x14ac:dyDescent="0.2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</row>
    <row r="829" spans="1:28" ht="12.75" x14ac:dyDescent="0.2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</row>
    <row r="830" spans="1:28" ht="12.75" x14ac:dyDescent="0.2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</row>
    <row r="831" spans="1:28" ht="12.75" x14ac:dyDescent="0.2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</row>
    <row r="832" spans="1:28" ht="12.75" x14ac:dyDescent="0.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</row>
    <row r="833" spans="1:28" ht="12.75" x14ac:dyDescent="0.2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</row>
    <row r="834" spans="1:28" ht="12.75" x14ac:dyDescent="0.2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</row>
    <row r="835" spans="1:28" ht="12.75" x14ac:dyDescent="0.2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</row>
    <row r="836" spans="1:28" ht="12.75" x14ac:dyDescent="0.2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</row>
    <row r="837" spans="1:28" ht="12.75" x14ac:dyDescent="0.2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</row>
    <row r="838" spans="1:28" ht="12.75" x14ac:dyDescent="0.2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</row>
    <row r="839" spans="1:28" ht="12.75" x14ac:dyDescent="0.2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</row>
    <row r="840" spans="1:28" ht="12.75" x14ac:dyDescent="0.2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</row>
    <row r="841" spans="1:28" ht="12.75" x14ac:dyDescent="0.2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</row>
    <row r="842" spans="1:28" ht="12.75" x14ac:dyDescent="0.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</row>
    <row r="843" spans="1:28" ht="12.75" x14ac:dyDescent="0.2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</row>
    <row r="844" spans="1:28" ht="12.75" x14ac:dyDescent="0.2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</row>
    <row r="845" spans="1:28" ht="12.75" x14ac:dyDescent="0.2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</row>
    <row r="846" spans="1:28" ht="12.75" x14ac:dyDescent="0.2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</row>
    <row r="847" spans="1:28" ht="12.75" x14ac:dyDescent="0.2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</row>
    <row r="848" spans="1:28" ht="12.75" x14ac:dyDescent="0.2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</row>
    <row r="849" spans="1:28" ht="12.75" x14ac:dyDescent="0.2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</row>
    <row r="850" spans="1:28" ht="12.75" x14ac:dyDescent="0.2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</row>
    <row r="851" spans="1:28" ht="12.75" x14ac:dyDescent="0.2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</row>
    <row r="852" spans="1:28" ht="12.75" x14ac:dyDescent="0.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</row>
    <row r="853" spans="1:28" ht="12.75" x14ac:dyDescent="0.2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</row>
    <row r="854" spans="1:28" ht="12.75" x14ac:dyDescent="0.2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</row>
    <row r="855" spans="1:28" ht="12.75" x14ac:dyDescent="0.2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</row>
    <row r="856" spans="1:28" ht="12.75" x14ac:dyDescent="0.2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</row>
    <row r="857" spans="1:28" ht="12.75" x14ac:dyDescent="0.2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</row>
    <row r="858" spans="1:28" ht="12.75" x14ac:dyDescent="0.2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</row>
    <row r="859" spans="1:28" ht="12.75" x14ac:dyDescent="0.2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</row>
    <row r="860" spans="1:28" ht="12.75" x14ac:dyDescent="0.2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</row>
    <row r="861" spans="1:28" ht="12.75" x14ac:dyDescent="0.2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</row>
    <row r="862" spans="1:28" ht="12.75" x14ac:dyDescent="0.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</row>
    <row r="863" spans="1:28" ht="12.75" x14ac:dyDescent="0.2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</row>
    <row r="864" spans="1:28" ht="12.75" x14ac:dyDescent="0.2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</row>
    <row r="865" spans="1:28" ht="12.75" x14ac:dyDescent="0.2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</row>
    <row r="866" spans="1:28" ht="12.75" x14ac:dyDescent="0.2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</row>
    <row r="867" spans="1:28" ht="12.75" x14ac:dyDescent="0.2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</row>
    <row r="868" spans="1:28" ht="12.75" x14ac:dyDescent="0.2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</row>
    <row r="869" spans="1:28" ht="12.75" x14ac:dyDescent="0.2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</row>
    <row r="870" spans="1:28" ht="12.75" x14ac:dyDescent="0.2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</row>
    <row r="871" spans="1:28" ht="12.75" x14ac:dyDescent="0.2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</row>
    <row r="872" spans="1:28" ht="12.75" x14ac:dyDescent="0.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</row>
    <row r="873" spans="1:28" ht="12.75" x14ac:dyDescent="0.2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</row>
    <row r="874" spans="1:28" ht="12.75" x14ac:dyDescent="0.2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</row>
    <row r="875" spans="1:28" ht="12.75" x14ac:dyDescent="0.2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</row>
    <row r="876" spans="1:28" ht="12.75" x14ac:dyDescent="0.2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</row>
    <row r="877" spans="1:28" ht="12.75" x14ac:dyDescent="0.2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</row>
    <row r="878" spans="1:28" ht="12.75" x14ac:dyDescent="0.2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</row>
    <row r="879" spans="1:28" ht="12.75" x14ac:dyDescent="0.2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</row>
    <row r="880" spans="1:28" ht="12.75" x14ac:dyDescent="0.2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</row>
    <row r="881" spans="1:28" ht="12.75" x14ac:dyDescent="0.2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</row>
    <row r="882" spans="1:28" ht="12.75" x14ac:dyDescent="0.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</row>
    <row r="883" spans="1:28" ht="12.75" x14ac:dyDescent="0.2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</row>
    <row r="884" spans="1:28" ht="12.75" x14ac:dyDescent="0.2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</row>
    <row r="885" spans="1:28" ht="12.75" x14ac:dyDescent="0.2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</row>
    <row r="886" spans="1:28" ht="12.75" x14ac:dyDescent="0.2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</row>
    <row r="887" spans="1:28" ht="12.75" x14ac:dyDescent="0.2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</row>
    <row r="888" spans="1:28" ht="12.75" x14ac:dyDescent="0.2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</row>
    <row r="889" spans="1:28" ht="12.75" x14ac:dyDescent="0.2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</row>
    <row r="890" spans="1:28" ht="12.75" x14ac:dyDescent="0.2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</row>
    <row r="891" spans="1:28" ht="12.75" x14ac:dyDescent="0.2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</row>
    <row r="892" spans="1:28" ht="12.75" x14ac:dyDescent="0.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</row>
    <row r="893" spans="1:28" ht="12.75" x14ac:dyDescent="0.2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</row>
    <row r="894" spans="1:28" ht="12.75" x14ac:dyDescent="0.2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</row>
    <row r="895" spans="1:28" ht="12.75" x14ac:dyDescent="0.2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</row>
    <row r="896" spans="1:28" ht="12.75" x14ac:dyDescent="0.2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</row>
    <row r="897" spans="1:28" ht="12.75" x14ac:dyDescent="0.2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</row>
    <row r="898" spans="1:28" ht="12.75" x14ac:dyDescent="0.2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</row>
    <row r="899" spans="1:28" ht="12.75" x14ac:dyDescent="0.2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</row>
    <row r="900" spans="1:28" ht="12.75" x14ac:dyDescent="0.2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</row>
    <row r="901" spans="1:28" ht="12.75" x14ac:dyDescent="0.2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</row>
    <row r="902" spans="1:28" ht="12.75" x14ac:dyDescent="0.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</row>
    <row r="903" spans="1:28" ht="12.75" x14ac:dyDescent="0.2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</row>
    <row r="904" spans="1:28" ht="12.75" x14ac:dyDescent="0.2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</row>
    <row r="905" spans="1:28" ht="12.75" x14ac:dyDescent="0.2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</row>
    <row r="906" spans="1:28" ht="12.75" x14ac:dyDescent="0.2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</row>
    <row r="907" spans="1:28" ht="12.75" x14ac:dyDescent="0.2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</row>
    <row r="908" spans="1:28" ht="12.75" x14ac:dyDescent="0.2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</row>
    <row r="909" spans="1:28" ht="12.75" x14ac:dyDescent="0.2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</row>
    <row r="910" spans="1:28" ht="12.75" x14ac:dyDescent="0.2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</row>
    <row r="911" spans="1:28" ht="12.75" x14ac:dyDescent="0.2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</row>
    <row r="912" spans="1:28" ht="12.75" x14ac:dyDescent="0.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</row>
    <row r="913" spans="1:28" ht="12.75" x14ac:dyDescent="0.2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</row>
    <row r="914" spans="1:28" ht="12.75" x14ac:dyDescent="0.2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</row>
    <row r="915" spans="1:28" ht="12.75" x14ac:dyDescent="0.2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</row>
    <row r="916" spans="1:28" ht="12.75" x14ac:dyDescent="0.2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</row>
    <row r="917" spans="1:28" ht="12.75" x14ac:dyDescent="0.2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</row>
    <row r="918" spans="1:28" ht="12.75" x14ac:dyDescent="0.2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</row>
    <row r="919" spans="1:28" ht="12.75" x14ac:dyDescent="0.2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</row>
    <row r="920" spans="1:28" ht="12.75" x14ac:dyDescent="0.2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</row>
    <row r="921" spans="1:28" ht="12.75" x14ac:dyDescent="0.2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</row>
    <row r="922" spans="1:28" ht="12.75" x14ac:dyDescent="0.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</row>
    <row r="923" spans="1:28" ht="12.75" x14ac:dyDescent="0.2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</row>
    <row r="924" spans="1:28" ht="12.75" x14ac:dyDescent="0.2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</row>
    <row r="925" spans="1:28" ht="12.75" x14ac:dyDescent="0.2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</row>
    <row r="926" spans="1:28" ht="12.75" x14ac:dyDescent="0.2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</row>
    <row r="927" spans="1:28" ht="12.75" x14ac:dyDescent="0.2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</row>
    <row r="928" spans="1:28" ht="12.75" x14ac:dyDescent="0.2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</row>
    <row r="929" spans="1:28" ht="12.75" x14ac:dyDescent="0.2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</row>
    <row r="930" spans="1:28" ht="12.75" x14ac:dyDescent="0.2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</row>
    <row r="931" spans="1:28" ht="12.75" x14ac:dyDescent="0.2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</row>
    <row r="932" spans="1:28" ht="12.75" x14ac:dyDescent="0.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</row>
    <row r="933" spans="1:28" ht="12.75" x14ac:dyDescent="0.2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</row>
    <row r="934" spans="1:28" ht="12.75" x14ac:dyDescent="0.2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</row>
    <row r="935" spans="1:28" ht="12.75" x14ac:dyDescent="0.2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</row>
    <row r="936" spans="1:28" ht="12.75" x14ac:dyDescent="0.2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</row>
    <row r="937" spans="1:28" ht="12.75" x14ac:dyDescent="0.2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</row>
    <row r="938" spans="1:28" ht="12.75" x14ac:dyDescent="0.2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</row>
    <row r="939" spans="1:28" ht="12.75" x14ac:dyDescent="0.2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</row>
    <row r="940" spans="1:28" ht="12.75" x14ac:dyDescent="0.2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</row>
    <row r="941" spans="1:28" ht="12.75" x14ac:dyDescent="0.2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</row>
    <row r="942" spans="1:28" ht="12.75" x14ac:dyDescent="0.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</row>
    <row r="943" spans="1:28" ht="12.75" x14ac:dyDescent="0.2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</row>
    <row r="944" spans="1:28" ht="12.75" x14ac:dyDescent="0.2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</row>
    <row r="945" spans="1:28" ht="12.75" x14ac:dyDescent="0.2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</row>
    <row r="946" spans="1:28" ht="12.75" x14ac:dyDescent="0.2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</row>
    <row r="947" spans="1:28" ht="12.75" x14ac:dyDescent="0.2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</row>
    <row r="948" spans="1:28" ht="12.75" x14ac:dyDescent="0.2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</row>
    <row r="949" spans="1:28" ht="12.75" x14ac:dyDescent="0.2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</row>
    <row r="950" spans="1:28" ht="12.75" x14ac:dyDescent="0.2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</row>
    <row r="951" spans="1:28" ht="12.75" x14ac:dyDescent="0.2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</row>
    <row r="952" spans="1:28" ht="12.75" x14ac:dyDescent="0.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</row>
    <row r="953" spans="1:28" ht="12.75" x14ac:dyDescent="0.2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</row>
    <row r="954" spans="1:28" ht="12.75" x14ac:dyDescent="0.2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</row>
    <row r="955" spans="1:28" ht="12.75" x14ac:dyDescent="0.2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</row>
    <row r="956" spans="1:28" ht="12.75" x14ac:dyDescent="0.2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</row>
    <row r="957" spans="1:28" ht="12.75" x14ac:dyDescent="0.2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</row>
    <row r="958" spans="1:28" ht="12.75" x14ac:dyDescent="0.2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</row>
    <row r="959" spans="1:28" ht="12.75" x14ac:dyDescent="0.2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</row>
    <row r="960" spans="1:28" ht="12.75" x14ac:dyDescent="0.2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</row>
    <row r="961" spans="1:28" ht="12.75" x14ac:dyDescent="0.2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</row>
    <row r="962" spans="1:28" ht="12.75" x14ac:dyDescent="0.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</row>
    <row r="963" spans="1:28" ht="12.75" x14ac:dyDescent="0.2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</row>
    <row r="964" spans="1:28" ht="12.75" x14ac:dyDescent="0.2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</row>
    <row r="965" spans="1:28" ht="12.75" x14ac:dyDescent="0.2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</row>
    <row r="966" spans="1:28" ht="12.75" x14ac:dyDescent="0.2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</row>
    <row r="967" spans="1:28" ht="12.75" x14ac:dyDescent="0.2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</row>
    <row r="968" spans="1:28" ht="12.75" x14ac:dyDescent="0.2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</row>
    <row r="969" spans="1:28" ht="12.75" x14ac:dyDescent="0.2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</row>
    <row r="970" spans="1:28" ht="12.75" x14ac:dyDescent="0.2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</row>
    <row r="971" spans="1:28" ht="12.75" x14ac:dyDescent="0.2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</row>
    <row r="972" spans="1:28" ht="12.75" x14ac:dyDescent="0.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</row>
    <row r="973" spans="1:28" ht="12.75" x14ac:dyDescent="0.2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</row>
    <row r="974" spans="1:28" ht="12.75" x14ac:dyDescent="0.2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</row>
    <row r="975" spans="1:28" ht="12.75" x14ac:dyDescent="0.2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</row>
    <row r="976" spans="1:28" ht="12.75" x14ac:dyDescent="0.2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</row>
    <row r="977" spans="1:28" ht="12.75" x14ac:dyDescent="0.2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</row>
    <row r="978" spans="1:28" ht="12.75" x14ac:dyDescent="0.2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</row>
    <row r="979" spans="1:28" ht="12.75" x14ac:dyDescent="0.2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</row>
    <row r="980" spans="1:28" ht="12.75" x14ac:dyDescent="0.2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</row>
    <row r="981" spans="1:28" ht="12.75" x14ac:dyDescent="0.2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</row>
    <row r="982" spans="1:28" ht="12.75" x14ac:dyDescent="0.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</row>
    <row r="983" spans="1:28" ht="12.75" x14ac:dyDescent="0.2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</row>
    <row r="984" spans="1:28" ht="12.75" x14ac:dyDescent="0.2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</row>
    <row r="985" spans="1:28" ht="12.75" x14ac:dyDescent="0.2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</row>
    <row r="986" spans="1:28" ht="12.75" x14ac:dyDescent="0.2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</row>
    <row r="987" spans="1:28" ht="12.75" x14ac:dyDescent="0.2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</row>
    <row r="988" spans="1:28" ht="12.75" x14ac:dyDescent="0.2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</row>
    <row r="989" spans="1:28" ht="12.75" x14ac:dyDescent="0.2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</row>
    <row r="990" spans="1:28" ht="12.75" x14ac:dyDescent="0.2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</row>
    <row r="991" spans="1:28" ht="12.75" x14ac:dyDescent="0.2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</row>
    <row r="992" spans="1:28" ht="12.75" x14ac:dyDescent="0.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</row>
    <row r="993" spans="1:28" ht="12.75" x14ac:dyDescent="0.2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</row>
    <row r="994" spans="1:28" ht="12.75" x14ac:dyDescent="0.2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</row>
    <row r="995" spans="1:28" ht="12.75" x14ac:dyDescent="0.2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</row>
    <row r="996" spans="1:28" ht="12.75" x14ac:dyDescent="0.2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</row>
    <row r="997" spans="1:28" ht="12.75" x14ac:dyDescent="0.2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</row>
    <row r="998" spans="1:28" ht="12.75" x14ac:dyDescent="0.2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</row>
    <row r="999" spans="1:28" ht="12.75" x14ac:dyDescent="0.2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</row>
    <row r="1000" spans="1:28" ht="12.75" x14ac:dyDescent="0.2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Working File</vt:lpstr>
      <vt:lpstr>Sample Charecteristics</vt:lpstr>
      <vt:lpstr>Crosstabs</vt:lpstr>
      <vt:lpstr>Acute Illness Expenditure</vt:lpstr>
      <vt:lpstr>Chronic Outpatient Expenditure</vt:lpstr>
      <vt:lpstr>Chronic Inpatient Expenditure</vt:lpstr>
      <vt:lpstr>Draft OOPE</vt:lpstr>
      <vt:lpstr>PSM 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Madhu Suudan Gautam</cp:lastModifiedBy>
  <dcterms:created xsi:type="dcterms:W3CDTF">2026-02-04T07:14:34Z</dcterms:created>
  <dcterms:modified xsi:type="dcterms:W3CDTF">2026-02-04T07:15:26Z</dcterms:modified>
</cp:coreProperties>
</file>